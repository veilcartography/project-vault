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pinnaclerg-my.sharepoint.com/personal/caroline_keeber_pinnaclepeople_co_uk/Documents/Desktop/CASELOAD/Tracie Walker/"/>
    </mc:Choice>
  </mc:AlternateContent>
  <xr:revisionPtr revIDLastSave="38" documentId="8_{756A2505-6F35-4392-A831-0B7F4A005503}" xr6:coauthVersionLast="46" xr6:coauthVersionMax="46" xr10:uidLastSave="{3E1F36DB-2045-47BE-9CCF-3A7CBE058D25}"/>
  <bookViews>
    <workbookView xWindow="-110" yWindow="-110" windowWidth="19420" windowHeight="10420" activeTab="2" xr2:uid="{00000000-000D-0000-FFFF-FFFF00000000}"/>
  </bookViews>
  <sheets>
    <sheet name="Personal Expenditure" sheetId="1" r:id="rId1"/>
    <sheet name="Sales Forecast" sheetId="2" r:id="rId2"/>
    <sheet name="Cash Flow Forecast Yr1" sheetId="3" r:id="rId3"/>
    <sheet name="Cash Flow Forecast Yr2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8" roundtripDataSignature="AMtx7mikp+dn/R/adRVXEr3IvJI/zLUQiQ=="/>
    </ext>
  </extLst>
</workbook>
</file>

<file path=xl/calcChain.xml><?xml version="1.0" encoding="utf-8"?>
<calcChain xmlns="http://schemas.openxmlformats.org/spreadsheetml/2006/main">
  <c r="N45" i="4" l="1"/>
  <c r="J45" i="4"/>
  <c r="I45" i="4"/>
  <c r="H45" i="4"/>
  <c r="G45" i="4"/>
  <c r="F45" i="4"/>
  <c r="N44" i="4"/>
  <c r="M44" i="4"/>
  <c r="L44" i="4"/>
  <c r="K44" i="4"/>
  <c r="J44" i="4"/>
  <c r="F44" i="4"/>
  <c r="E44" i="4"/>
  <c r="D44" i="4"/>
  <c r="C44" i="4"/>
  <c r="P37" i="4"/>
  <c r="O37" i="4"/>
  <c r="O36" i="4"/>
  <c r="P36" i="4" s="1"/>
  <c r="O35" i="4"/>
  <c r="P35" i="4" s="1"/>
  <c r="O33" i="4"/>
  <c r="P33" i="4" s="1"/>
  <c r="P32" i="4"/>
  <c r="O32" i="4"/>
  <c r="P31" i="4"/>
  <c r="O31" i="4"/>
  <c r="O30" i="4"/>
  <c r="P30" i="4" s="1"/>
  <c r="O29" i="4"/>
  <c r="P29" i="4" s="1"/>
  <c r="P28" i="4"/>
  <c r="O28" i="4"/>
  <c r="P27" i="4"/>
  <c r="O27" i="4"/>
  <c r="O26" i="4"/>
  <c r="P26" i="4" s="1"/>
  <c r="O25" i="4"/>
  <c r="P25" i="4" s="1"/>
  <c r="P24" i="4"/>
  <c r="O24" i="4"/>
  <c r="P23" i="4"/>
  <c r="O23" i="4"/>
  <c r="O22" i="4"/>
  <c r="P22" i="4" s="1"/>
  <c r="O21" i="4"/>
  <c r="P21" i="4" s="1"/>
  <c r="P20" i="4"/>
  <c r="O20" i="4"/>
  <c r="P19" i="4"/>
  <c r="O19" i="4"/>
  <c r="O18" i="4"/>
  <c r="P18" i="4" s="1"/>
  <c r="O17" i="4"/>
  <c r="P17" i="4" s="1"/>
  <c r="P16" i="4"/>
  <c r="O16" i="4"/>
  <c r="P15" i="4"/>
  <c r="O15" i="4"/>
  <c r="M14" i="4"/>
  <c r="L14" i="4"/>
  <c r="K14" i="4"/>
  <c r="J14" i="4"/>
  <c r="E14" i="4"/>
  <c r="D14" i="4"/>
  <c r="C14" i="4"/>
  <c r="K13" i="4"/>
  <c r="J13" i="4"/>
  <c r="P12" i="4"/>
  <c r="O12" i="4"/>
  <c r="P11" i="4"/>
  <c r="O11" i="4"/>
  <c r="N10" i="4"/>
  <c r="N13" i="4" s="1"/>
  <c r="M10" i="4"/>
  <c r="M13" i="4" s="1"/>
  <c r="G10" i="4"/>
  <c r="G13" i="4" s="1"/>
  <c r="F10" i="4"/>
  <c r="F13" i="4" s="1"/>
  <c r="E10" i="4"/>
  <c r="E13" i="4" s="1"/>
  <c r="N8" i="4"/>
  <c r="M8" i="4"/>
  <c r="L8" i="4"/>
  <c r="K8" i="4"/>
  <c r="J8" i="4"/>
  <c r="I8" i="4"/>
  <c r="H8" i="4"/>
  <c r="G8" i="4"/>
  <c r="F8" i="4"/>
  <c r="E8" i="4"/>
  <c r="D8" i="4"/>
  <c r="C8" i="4"/>
  <c r="F6" i="4"/>
  <c r="F4" i="4"/>
  <c r="F2" i="4"/>
  <c r="O45" i="3"/>
  <c r="N45" i="3"/>
  <c r="M45" i="3"/>
  <c r="L45" i="3"/>
  <c r="K45" i="3"/>
  <c r="J45" i="3"/>
  <c r="G45" i="3"/>
  <c r="F45" i="3"/>
  <c r="E45" i="3"/>
  <c r="D45" i="3"/>
  <c r="O44" i="3"/>
  <c r="K44" i="3"/>
  <c r="J44" i="3"/>
  <c r="I44" i="3"/>
  <c r="H44" i="3"/>
  <c r="G44" i="3"/>
  <c r="N43" i="3"/>
  <c r="C38" i="3"/>
  <c r="C39" i="3" s="1"/>
  <c r="C41" i="3" s="1"/>
  <c r="D40" i="3" s="1"/>
  <c r="Q37" i="3"/>
  <c r="P37" i="3"/>
  <c r="P36" i="3"/>
  <c r="Q36" i="3" s="1"/>
  <c r="P35" i="3"/>
  <c r="Q35" i="3" s="1"/>
  <c r="P34" i="3"/>
  <c r="Q34" i="3" s="1"/>
  <c r="Q33" i="3"/>
  <c r="P33" i="3"/>
  <c r="P32" i="3"/>
  <c r="Q32" i="3" s="1"/>
  <c r="P31" i="3"/>
  <c r="Q31" i="3" s="1"/>
  <c r="Q30" i="3"/>
  <c r="P30" i="3"/>
  <c r="P29" i="3"/>
  <c r="Q29" i="3" s="1"/>
  <c r="P28" i="3"/>
  <c r="Q28" i="3" s="1"/>
  <c r="P27" i="3"/>
  <c r="Q27" i="3" s="1"/>
  <c r="P26" i="3"/>
  <c r="Q26" i="3" s="1"/>
  <c r="Q25" i="3"/>
  <c r="P25" i="3"/>
  <c r="P24" i="3"/>
  <c r="Q24" i="3" s="1"/>
  <c r="P23" i="3"/>
  <c r="Q23" i="3" s="1"/>
  <c r="Q22" i="3"/>
  <c r="P22" i="3"/>
  <c r="Q21" i="3"/>
  <c r="P21" i="3"/>
  <c r="P20" i="3"/>
  <c r="Q20" i="3" s="1"/>
  <c r="P19" i="3"/>
  <c r="Q19" i="3" s="1"/>
  <c r="Q18" i="3"/>
  <c r="P18" i="3"/>
  <c r="Q17" i="3"/>
  <c r="P17" i="3"/>
  <c r="P16" i="3"/>
  <c r="Q16" i="3" s="1"/>
  <c r="P15" i="3"/>
  <c r="Q15" i="3" s="1"/>
  <c r="J14" i="3"/>
  <c r="J38" i="3" s="1"/>
  <c r="H14" i="3"/>
  <c r="H38" i="3" s="1"/>
  <c r="I13" i="3"/>
  <c r="C13" i="3"/>
  <c r="P12" i="3"/>
  <c r="Q12" i="3" s="1"/>
  <c r="P11" i="3"/>
  <c r="Q11" i="3" s="1"/>
  <c r="D10" i="3"/>
  <c r="P41" i="2"/>
  <c r="N14" i="4" s="1"/>
  <c r="O41" i="2"/>
  <c r="N41" i="2"/>
  <c r="M41" i="2"/>
  <c r="L41" i="2"/>
  <c r="K41" i="2"/>
  <c r="I14" i="4" s="1"/>
  <c r="J41" i="2"/>
  <c r="H14" i="4" s="1"/>
  <c r="I41" i="2"/>
  <c r="G14" i="4" s="1"/>
  <c r="H41" i="2"/>
  <c r="F14" i="4" s="1"/>
  <c r="G41" i="2"/>
  <c r="F41" i="2"/>
  <c r="E41" i="2"/>
  <c r="P40" i="2"/>
  <c r="O40" i="2"/>
  <c r="N40" i="2"/>
  <c r="L10" i="4" s="1"/>
  <c r="L13" i="4" s="1"/>
  <c r="M40" i="2"/>
  <c r="K10" i="4" s="1"/>
  <c r="L40" i="2"/>
  <c r="J10" i="4" s="1"/>
  <c r="K40" i="2"/>
  <c r="I10" i="4" s="1"/>
  <c r="I13" i="4" s="1"/>
  <c r="J40" i="2"/>
  <c r="H10" i="4" s="1"/>
  <c r="H13" i="4" s="1"/>
  <c r="I40" i="2"/>
  <c r="H40" i="2"/>
  <c r="G40" i="2"/>
  <c r="F40" i="2"/>
  <c r="D10" i="4" s="1"/>
  <c r="D13" i="4" s="1"/>
  <c r="E40" i="2"/>
  <c r="P39" i="2"/>
  <c r="O39" i="2"/>
  <c r="N39" i="2"/>
  <c r="M39" i="2"/>
  <c r="L39" i="2"/>
  <c r="K39" i="2"/>
  <c r="J39" i="2"/>
  <c r="I39" i="2"/>
  <c r="H39" i="2"/>
  <c r="G39" i="2"/>
  <c r="F39" i="2"/>
  <c r="E39" i="2"/>
  <c r="Q38" i="2"/>
  <c r="S37" i="2"/>
  <c r="T37" i="2" s="1"/>
  <c r="U37" i="2" s="1"/>
  <c r="R37" i="2"/>
  <c r="Q37" i="2"/>
  <c r="Q36" i="2"/>
  <c r="S36" i="2" s="1"/>
  <c r="Q35" i="2"/>
  <c r="S35" i="2" s="1"/>
  <c r="S34" i="2"/>
  <c r="T34" i="2" s="1"/>
  <c r="U34" i="2" s="1"/>
  <c r="R34" i="2"/>
  <c r="Q34" i="2"/>
  <c r="Q33" i="2"/>
  <c r="S33" i="2" s="1"/>
  <c r="S32" i="2"/>
  <c r="Q32" i="2"/>
  <c r="R32" i="2" s="1"/>
  <c r="T32" i="2" s="1"/>
  <c r="U32" i="2" s="1"/>
  <c r="Q31" i="2"/>
  <c r="R31" i="2" s="1"/>
  <c r="Q30" i="2"/>
  <c r="S29" i="2"/>
  <c r="T29" i="2" s="1"/>
  <c r="R29" i="2"/>
  <c r="Q29" i="2"/>
  <c r="P23" i="2"/>
  <c r="O14" i="3" s="1"/>
  <c r="O38" i="3" s="1"/>
  <c r="O23" i="2"/>
  <c r="N14" i="3" s="1"/>
  <c r="N38" i="3" s="1"/>
  <c r="N39" i="3" s="1"/>
  <c r="N23" i="2"/>
  <c r="M14" i="3" s="1"/>
  <c r="M38" i="3" s="1"/>
  <c r="M23" i="2"/>
  <c r="L14" i="3" s="1"/>
  <c r="L38" i="3" s="1"/>
  <c r="L23" i="2"/>
  <c r="K14" i="3" s="1"/>
  <c r="K38" i="3" s="1"/>
  <c r="K23" i="2"/>
  <c r="J23" i="2"/>
  <c r="I14" i="3" s="1"/>
  <c r="I38" i="3" s="1"/>
  <c r="I23" i="2"/>
  <c r="H23" i="2"/>
  <c r="G14" i="3" s="1"/>
  <c r="G38" i="3" s="1"/>
  <c r="G23" i="2"/>
  <c r="F14" i="3" s="1"/>
  <c r="F38" i="3" s="1"/>
  <c r="F23" i="2"/>
  <c r="E14" i="3" s="1"/>
  <c r="E38" i="3" s="1"/>
  <c r="E23" i="2"/>
  <c r="P22" i="2"/>
  <c r="O10" i="3" s="1"/>
  <c r="O13" i="3" s="1"/>
  <c r="O22" i="2"/>
  <c r="N10" i="3" s="1"/>
  <c r="N13" i="3" s="1"/>
  <c r="N22" i="2"/>
  <c r="M10" i="3" s="1"/>
  <c r="M13" i="3" s="1"/>
  <c r="M22" i="2"/>
  <c r="L10" i="3" s="1"/>
  <c r="L13" i="3" s="1"/>
  <c r="L22" i="2"/>
  <c r="K10" i="3" s="1"/>
  <c r="K13" i="3" s="1"/>
  <c r="K22" i="2"/>
  <c r="J10" i="3" s="1"/>
  <c r="J13" i="3" s="1"/>
  <c r="J22" i="2"/>
  <c r="I10" i="3" s="1"/>
  <c r="I22" i="2"/>
  <c r="H10" i="3" s="1"/>
  <c r="H13" i="3" s="1"/>
  <c r="H22" i="2"/>
  <c r="G10" i="3" s="1"/>
  <c r="G13" i="3" s="1"/>
  <c r="G22" i="2"/>
  <c r="F10" i="3" s="1"/>
  <c r="F13" i="3" s="1"/>
  <c r="F22" i="2"/>
  <c r="E10" i="3" s="1"/>
  <c r="E13" i="3" s="1"/>
  <c r="E22" i="2"/>
  <c r="P21" i="2"/>
  <c r="O21" i="2"/>
  <c r="N21" i="2"/>
  <c r="M21" i="2"/>
  <c r="L21" i="2"/>
  <c r="K21" i="2"/>
  <c r="J21" i="2"/>
  <c r="I21" i="2"/>
  <c r="H21" i="2"/>
  <c r="G21" i="2"/>
  <c r="F21" i="2"/>
  <c r="E21" i="2"/>
  <c r="S20" i="2"/>
  <c r="T20" i="2" s="1"/>
  <c r="U20" i="2" s="1"/>
  <c r="R20" i="2"/>
  <c r="Q20" i="2"/>
  <c r="Q19" i="2"/>
  <c r="S19" i="2" s="1"/>
  <c r="Q18" i="2"/>
  <c r="S18" i="2" s="1"/>
  <c r="Q17" i="2"/>
  <c r="S17" i="2" s="1"/>
  <c r="Q16" i="2"/>
  <c r="S16" i="2" s="1"/>
  <c r="S15" i="2"/>
  <c r="Q15" i="2"/>
  <c r="R15" i="2" s="1"/>
  <c r="T15" i="2" s="1"/>
  <c r="U15" i="2" s="1"/>
  <c r="Q14" i="2"/>
  <c r="R14" i="2" s="1"/>
  <c r="Q13" i="2"/>
  <c r="S12" i="2"/>
  <c r="T12" i="2" s="1"/>
  <c r="U12" i="2" s="1"/>
  <c r="R12" i="2"/>
  <c r="Q12" i="2"/>
  <c r="R11" i="2"/>
  <c r="Q11" i="2"/>
  <c r="S11" i="2" s="1"/>
  <c r="I38" i="1"/>
  <c r="F43" i="3" s="1"/>
  <c r="D38" i="1"/>
  <c r="E25" i="1"/>
  <c r="M45" i="4" s="1"/>
  <c r="E20" i="1"/>
  <c r="I44" i="4" s="1"/>
  <c r="I39" i="3" l="1"/>
  <c r="R17" i="2"/>
  <c r="T17" i="2" s="1"/>
  <c r="U17" i="2" s="1"/>
  <c r="E39" i="3"/>
  <c r="J39" i="3"/>
  <c r="H39" i="3"/>
  <c r="G39" i="3"/>
  <c r="O39" i="3"/>
  <c r="K39" i="3"/>
  <c r="Q40" i="3"/>
  <c r="M39" i="3"/>
  <c r="F39" i="3"/>
  <c r="U29" i="2"/>
  <c r="M38" i="4"/>
  <c r="M39" i="4" s="1"/>
  <c r="R33" i="2"/>
  <c r="T33" i="2" s="1"/>
  <c r="U33" i="2" s="1"/>
  <c r="R38" i="2"/>
  <c r="S38" i="2"/>
  <c r="S14" i="2"/>
  <c r="T14" i="2" s="1"/>
  <c r="U14" i="2" s="1"/>
  <c r="R19" i="2"/>
  <c r="T19" i="2" s="1"/>
  <c r="U19" i="2" s="1"/>
  <c r="S31" i="2"/>
  <c r="T31" i="2" s="1"/>
  <c r="U31" i="2" s="1"/>
  <c r="R36" i="2"/>
  <c r="T36" i="2" s="1"/>
  <c r="U36" i="2" s="1"/>
  <c r="R16" i="2"/>
  <c r="T16" i="2" s="1"/>
  <c r="U16" i="2" s="1"/>
  <c r="I38" i="4"/>
  <c r="I39" i="4" s="1"/>
  <c r="R39" i="2"/>
  <c r="D43" i="3"/>
  <c r="G43" i="4"/>
  <c r="E43" i="3"/>
  <c r="H43" i="4"/>
  <c r="P10" i="3"/>
  <c r="D13" i="3"/>
  <c r="L39" i="3"/>
  <c r="Q22" i="2"/>
  <c r="T11" i="2"/>
  <c r="N43" i="4"/>
  <c r="N46" i="4" s="1"/>
  <c r="N34" i="4" s="1"/>
  <c r="N38" i="4" s="1"/>
  <c r="N39" i="4" s="1"/>
  <c r="F43" i="4"/>
  <c r="F46" i="4" s="1"/>
  <c r="F34" i="4" s="1"/>
  <c r="F38" i="4" s="1"/>
  <c r="F39" i="4" s="1"/>
  <c r="K43" i="3"/>
  <c r="K47" i="3" s="1"/>
  <c r="M43" i="4"/>
  <c r="M46" i="4" s="1"/>
  <c r="M34" i="4" s="1"/>
  <c r="E43" i="4"/>
  <c r="J43" i="3"/>
  <c r="J47" i="3" s="1"/>
  <c r="L43" i="4"/>
  <c r="D43" i="4"/>
  <c r="I43" i="3"/>
  <c r="I47" i="3" s="1"/>
  <c r="J43" i="4"/>
  <c r="J46" i="4" s="1"/>
  <c r="J34" i="4" s="1"/>
  <c r="J38" i="4" s="1"/>
  <c r="J39" i="4" s="1"/>
  <c r="G43" i="3"/>
  <c r="G47" i="3" s="1"/>
  <c r="I43" i="4"/>
  <c r="I46" i="4" s="1"/>
  <c r="I34" i="4" s="1"/>
  <c r="K43" i="4"/>
  <c r="C43" i="4"/>
  <c r="H43" i="3"/>
  <c r="H47" i="3" s="1"/>
  <c r="O43" i="3"/>
  <c r="O47" i="3" s="1"/>
  <c r="D14" i="3"/>
  <c r="Q23" i="2"/>
  <c r="L43" i="3"/>
  <c r="Q21" i="2"/>
  <c r="S13" i="2"/>
  <c r="S21" i="2" s="1"/>
  <c r="R13" i="2"/>
  <c r="T13" i="2" s="1"/>
  <c r="U13" i="2" s="1"/>
  <c r="Q39" i="2"/>
  <c r="R30" i="2"/>
  <c r="T30" i="2" s="1"/>
  <c r="U30" i="2" s="1"/>
  <c r="S30" i="2"/>
  <c r="S39" i="2" s="1"/>
  <c r="C10" i="4"/>
  <c r="Q40" i="2"/>
  <c r="Q41" i="2"/>
  <c r="M43" i="3"/>
  <c r="M47" i="3" s="1"/>
  <c r="O14" i="4"/>
  <c r="R18" i="2"/>
  <c r="T18" i="2" s="1"/>
  <c r="U18" i="2" s="1"/>
  <c r="R35" i="2"/>
  <c r="T35" i="2" s="1"/>
  <c r="U35" i="2" s="1"/>
  <c r="D44" i="3"/>
  <c r="L44" i="3"/>
  <c r="H45" i="3"/>
  <c r="G44" i="4"/>
  <c r="C45" i="4"/>
  <c r="K45" i="4"/>
  <c r="E44" i="3"/>
  <c r="M44" i="3"/>
  <c r="I45" i="3"/>
  <c r="H44" i="4"/>
  <c r="D45" i="4"/>
  <c r="L45" i="4"/>
  <c r="F44" i="3"/>
  <c r="F47" i="3" s="1"/>
  <c r="N44" i="3"/>
  <c r="N47" i="3" s="1"/>
  <c r="E45" i="4"/>
  <c r="D46" i="4" l="1"/>
  <c r="D34" i="4" s="1"/>
  <c r="D38" i="4" s="1"/>
  <c r="D39" i="4" s="1"/>
  <c r="H46" i="4"/>
  <c r="H34" i="4" s="1"/>
  <c r="H38" i="4" s="1"/>
  <c r="H39" i="4" s="1"/>
  <c r="R21" i="2"/>
  <c r="L46" i="4"/>
  <c r="L34" i="4" s="1"/>
  <c r="L38" i="4" s="1"/>
  <c r="L39" i="4" s="1"/>
  <c r="U11" i="2"/>
  <c r="T21" i="2"/>
  <c r="O10" i="4"/>
  <c r="C13" i="4"/>
  <c r="C46" i="4"/>
  <c r="C34" i="4" s="1"/>
  <c r="E47" i="3"/>
  <c r="T38" i="2"/>
  <c r="U38" i="2" s="1"/>
  <c r="P14" i="3"/>
  <c r="D38" i="3"/>
  <c r="D39" i="3" s="1"/>
  <c r="D41" i="3" s="1"/>
  <c r="E40" i="3" s="1"/>
  <c r="E41" i="3" s="1"/>
  <c r="F40" i="3" s="1"/>
  <c r="F41" i="3" s="1"/>
  <c r="G40" i="3" s="1"/>
  <c r="G41" i="3" s="1"/>
  <c r="H40" i="3" s="1"/>
  <c r="H41" i="3" s="1"/>
  <c r="I40" i="3" s="1"/>
  <c r="I41" i="3" s="1"/>
  <c r="J40" i="3" s="1"/>
  <c r="J41" i="3" s="1"/>
  <c r="K40" i="3" s="1"/>
  <c r="K41" i="3" s="1"/>
  <c r="L40" i="3" s="1"/>
  <c r="L41" i="3" s="1"/>
  <c r="M40" i="3" s="1"/>
  <c r="M41" i="3" s="1"/>
  <c r="N40" i="3" s="1"/>
  <c r="N41" i="3" s="1"/>
  <c r="O40" i="3" s="1"/>
  <c r="O41" i="3" s="1"/>
  <c r="L47" i="3"/>
  <c r="K46" i="4"/>
  <c r="K34" i="4" s="1"/>
  <c r="K38" i="4" s="1"/>
  <c r="K39" i="4" s="1"/>
  <c r="E46" i="4"/>
  <c r="E34" i="4" s="1"/>
  <c r="E38" i="4" s="1"/>
  <c r="E39" i="4" s="1"/>
  <c r="G46" i="4"/>
  <c r="G34" i="4" s="1"/>
  <c r="G38" i="4" s="1"/>
  <c r="G39" i="4" s="1"/>
  <c r="Q10" i="3"/>
  <c r="Q13" i="3" s="1"/>
  <c r="P13" i="3"/>
  <c r="P14" i="4"/>
  <c r="D47" i="3"/>
  <c r="U21" i="2" l="1"/>
  <c r="O34" i="4"/>
  <c r="C38" i="4"/>
  <c r="C39" i="4" s="1"/>
  <c r="C41" i="4" s="1"/>
  <c r="D40" i="4" s="1"/>
  <c r="D41" i="4" s="1"/>
  <c r="E40" i="4" s="1"/>
  <c r="E41" i="4" s="1"/>
  <c r="F40" i="4" s="1"/>
  <c r="F41" i="4" s="1"/>
  <c r="G40" i="4" s="1"/>
  <c r="G41" i="4" s="1"/>
  <c r="H40" i="4" s="1"/>
  <c r="H41" i="4" s="1"/>
  <c r="I40" i="4" s="1"/>
  <c r="I41" i="4" s="1"/>
  <c r="J40" i="4" s="1"/>
  <c r="J41" i="4" s="1"/>
  <c r="K40" i="4" s="1"/>
  <c r="K41" i="4" s="1"/>
  <c r="L40" i="4" s="1"/>
  <c r="L41" i="4" s="1"/>
  <c r="M40" i="4" s="1"/>
  <c r="M41" i="4" s="1"/>
  <c r="N40" i="4" s="1"/>
  <c r="N41" i="4" s="1"/>
  <c r="O13" i="4"/>
  <c r="P10" i="4"/>
  <c r="P13" i="4" s="1"/>
  <c r="P38" i="3"/>
  <c r="P39" i="3" s="1"/>
  <c r="Q14" i="3"/>
  <c r="Q38" i="3" s="1"/>
  <c r="Q39" i="3" s="1"/>
  <c r="Q41" i="3" s="1"/>
  <c r="T39" i="2"/>
  <c r="U39" i="2" s="1"/>
  <c r="P34" i="4" l="1"/>
  <c r="O38" i="4"/>
  <c r="O39" i="4" s="1"/>
  <c r="P40" i="4" l="1"/>
  <c r="P38" i="4"/>
  <c r="P39" i="4" s="1"/>
  <c r="P4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200-000001000000}">
      <text>
        <r>
          <rPr>
            <sz val="11"/>
            <color theme="1"/>
            <rFont val="Arial"/>
            <family val="2"/>
          </rPr>
          <t>======
ID#AAAASUTM7sQ
Gaming    (2021-12-01 20:50:38)
loan £2500 over 36 months</t>
        </r>
      </text>
    </comment>
    <comment ref="C14" authorId="0" shapeId="0" xr:uid="{00000000-0006-0000-0200-000002000000}">
      <text>
        <r>
          <rPr>
            <sz val="11"/>
            <color theme="1"/>
            <rFont val="Arial"/>
            <family val="2"/>
          </rPr>
          <t>======
ID#AAAASUTM7sM
Gaming    (2021-12-01 20:50:38)
stock and costs to myself on eqiupment etc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5TgT8ucEHlcHAhaz79f0OSdnjjQ=="/>
    </ext>
  </extLst>
</comments>
</file>

<file path=xl/sharedStrings.xml><?xml version="1.0" encoding="utf-8"?>
<sst xmlns="http://schemas.openxmlformats.org/spreadsheetml/2006/main" count="257" uniqueCount="150">
  <si>
    <t>Personal Survival Budget</t>
  </si>
  <si>
    <t>Name:</t>
  </si>
  <si>
    <t>tracie walker</t>
  </si>
  <si>
    <t>Business Name:</t>
  </si>
  <si>
    <t>conscious candles n mindful melts</t>
  </si>
  <si>
    <t>Date:</t>
  </si>
  <si>
    <t>Personal Income</t>
  </si>
  <si>
    <t>Monthly Income</t>
  </si>
  <si>
    <t>Personal Expenditure</t>
  </si>
  <si>
    <t>Monthly Expenditure</t>
  </si>
  <si>
    <t>Employed Income</t>
  </si>
  <si>
    <t>Rent/Mortgage</t>
  </si>
  <si>
    <t>Partner's Income</t>
  </si>
  <si>
    <t>Council Tax</t>
  </si>
  <si>
    <t>Pension</t>
  </si>
  <si>
    <t>Utilities</t>
  </si>
  <si>
    <t>Lodgers</t>
  </si>
  <si>
    <t>TV Licence</t>
  </si>
  <si>
    <t>Maintenance</t>
  </si>
  <si>
    <t>Phone/Internet</t>
  </si>
  <si>
    <t>DLA/PIP</t>
  </si>
  <si>
    <t>TV Packages</t>
  </si>
  <si>
    <t>Carers Allowance</t>
  </si>
  <si>
    <t>Insurances</t>
  </si>
  <si>
    <t>Child Benefit</t>
  </si>
  <si>
    <t>Travel Expenses</t>
  </si>
  <si>
    <t>Universal Credit</t>
  </si>
  <si>
    <t>Car Tax and Insurance</t>
  </si>
  <si>
    <t>Tax Credits</t>
  </si>
  <si>
    <t>Housing Benefit</t>
  </si>
  <si>
    <t>Groceries</t>
  </si>
  <si>
    <t>Council tax benefit</t>
  </si>
  <si>
    <t>School/Work Dinners</t>
  </si>
  <si>
    <t>Clothing</t>
  </si>
  <si>
    <t>Job Seekers Allowance</t>
  </si>
  <si>
    <t>Leisure and Hobbies</t>
  </si>
  <si>
    <t>Income Support</t>
  </si>
  <si>
    <t>Pocketmoney</t>
  </si>
  <si>
    <t>Pet Bills</t>
  </si>
  <si>
    <t>Any other income</t>
  </si>
  <si>
    <t>Child/adult care costs</t>
  </si>
  <si>
    <t>Secured Loan</t>
  </si>
  <si>
    <t>Unsecured Loans</t>
  </si>
  <si>
    <t xml:space="preserve">Catalogues/Cards </t>
  </si>
  <si>
    <t>Any other expenses</t>
  </si>
  <si>
    <t>TOTALS</t>
  </si>
  <si>
    <t>Any notes (IE. Savings/Live with parents)</t>
  </si>
  <si>
    <t>Monthly Sales Forecast</t>
  </si>
  <si>
    <t>Year 1</t>
  </si>
  <si>
    <t>Month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</si>
  <si>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</si>
  <si>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</si>
  <si>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</si>
  <si>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</si>
  <si>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</si>
  <si>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</si>
  <si>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</si>
  <si>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</si>
  <si>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</si>
  <si>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</si>
  <si>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</si>
  <si>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</si>
  <si>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Product/Service</t>
  </si>
  <si>
    <t>Sales Price/Day Rate</t>
  </si>
  <si>
    <t>Direct Costs</t>
  </si>
  <si>
    <t>M 1</t>
  </si>
  <si>
    <t>M 2</t>
  </si>
  <si>
    <t>M 3</t>
  </si>
  <si>
    <t>M 4</t>
  </si>
  <si>
    <t>M 5</t>
  </si>
  <si>
    <t>M 6</t>
  </si>
  <si>
    <t>M 7</t>
  </si>
  <si>
    <t>M 8</t>
  </si>
  <si>
    <t>M 9</t>
  </si>
  <si>
    <t>M 10</t>
  </si>
  <si>
    <t>M 11</t>
  </si>
  <si>
    <t>M 12</t>
  </si>
  <si>
    <t>Numbers</t>
  </si>
  <si>
    <t>Income</t>
  </si>
  <si>
    <t>Cost</t>
  </si>
  <si>
    <t>Gross Profit</t>
  </si>
  <si>
    <t>GP%</t>
  </si>
  <si>
    <t>rec tealights</t>
  </si>
  <si>
    <t>rec tealights direct</t>
  </si>
  <si>
    <t>melts trade kg</t>
  </si>
  <si>
    <t>rec jars direct</t>
  </si>
  <si>
    <t>rec jars trade</t>
  </si>
  <si>
    <t>50g melts direct</t>
  </si>
  <si>
    <t>markets</t>
  </si>
  <si>
    <t>Income per month to CFF</t>
  </si>
  <si>
    <t>Cost per month to CFF  (direct costs)</t>
  </si>
  <si>
    <t>Year 2</t>
  </si>
  <si>
    <t>NB:  Only required for loans over £2,500</t>
  </si>
  <si>
    <t>M 13</t>
  </si>
  <si>
    <t>M 14</t>
  </si>
  <si>
    <t>M 15</t>
  </si>
  <si>
    <t>M 16</t>
  </si>
  <si>
    <t>M 17</t>
  </si>
  <si>
    <t>M 18</t>
  </si>
  <si>
    <t>M 19</t>
  </si>
  <si>
    <t>M 20</t>
  </si>
  <si>
    <t>M 21</t>
  </si>
  <si>
    <t>M 22</t>
  </si>
  <si>
    <t>M 23</t>
  </si>
  <si>
    <t>M 24</t>
  </si>
  <si>
    <t>Cash flow Forecast</t>
  </si>
  <si>
    <t>Put anything spent on the business prior to opening in this column</t>
  </si>
  <si>
    <t>Pre-Start</t>
  </si>
  <si>
    <t>Totals</t>
  </si>
  <si>
    <t>P&amp;L</t>
  </si>
  <si>
    <t>Sales</t>
  </si>
  <si>
    <t>Own Cash/Grants</t>
  </si>
  <si>
    <t xml:space="preserve">Loans </t>
  </si>
  <si>
    <t>Total Income</t>
  </si>
  <si>
    <t>Rent &amp; Rates</t>
  </si>
  <si>
    <t>Premises Costs</t>
  </si>
  <si>
    <t>Home Working Costs</t>
  </si>
  <si>
    <t>Wages - Staff</t>
  </si>
  <si>
    <t>Motor Expenses</t>
  </si>
  <si>
    <t>Phone / Internet</t>
  </si>
  <si>
    <t>Advertising</t>
  </si>
  <si>
    <t>Print / Stationery</t>
  </si>
  <si>
    <t>Equipment</t>
  </si>
  <si>
    <t>Loan Repayments</t>
  </si>
  <si>
    <t>Bank Charges</t>
  </si>
  <si>
    <t>Professional Fees</t>
  </si>
  <si>
    <t>Website</t>
  </si>
  <si>
    <t>fragrance oils</t>
  </si>
  <si>
    <t>packaging</t>
  </si>
  <si>
    <t>VAT</t>
  </si>
  <si>
    <t>Drawings/Salary</t>
  </si>
  <si>
    <t>This is how much you are paying yourself</t>
  </si>
  <si>
    <t>NI - Class 4</t>
  </si>
  <si>
    <t>Will have to pay if profit over £9,500</t>
  </si>
  <si>
    <t>NI - Class 2</t>
  </si>
  <si>
    <t>Provision for Tax</t>
  </si>
  <si>
    <t>Will have to pay if profit over £12,000</t>
  </si>
  <si>
    <t>Total Expenditure</t>
  </si>
  <si>
    <t>Income less Expend</t>
  </si>
  <si>
    <t>NP (Net Profit)</t>
  </si>
  <si>
    <t>Opening Bank Balance</t>
  </si>
  <si>
    <t>Draw + Tax</t>
  </si>
  <si>
    <t>Closing Bank Balance</t>
  </si>
  <si>
    <t>Taxable</t>
  </si>
  <si>
    <t>This is how much you need to pay all of your bills (taken from previous page)</t>
  </si>
  <si>
    <t>Regular Income</t>
  </si>
  <si>
    <t>Reducing Income</t>
  </si>
  <si>
    <t>NEA</t>
  </si>
  <si>
    <t>Drawings required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</si>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</sst>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;"/>
    <numFmt numFmtId="165" formatCode="_-&quot;£&quot;* #,##0.00_-;\-&quot;£&quot;* #,##0.00_-;_-&quot;£&quot;* &quot;-&quot;??_-;_-@"/>
    <numFmt numFmtId="166" formatCode="_-&quot;£&quot;* #,##0_-;\-&quot;£&quot;* #,##0_-;_-&quot;£&quot;* &quot;-&quot;??_-;_-@"/>
    <numFmt numFmtId="167" formatCode="0.0%"/>
  </numFmts>
  <fonts count="10" x14ac:knownFonts="1">
    <font>
      <sz val="11"/>
      <color theme="1"/>
      <name val="Arial"/>
    </font>
    <font>
      <sz val="12"/>
      <color theme="1"/>
      <name val="Arial"/>
      <family val="2"/>
    </font>
    <font>
      <b/>
      <sz val="20"/>
      <color theme="1"/>
      <name val="Arial"/>
      <family val="2"/>
    </font>
    <font>
      <b/>
      <sz val="12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2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B8D08A"/>
        <bgColor rgb="FFB8D08A"/>
      </patternFill>
    </fill>
    <fill>
      <patternFill patternType="solid">
        <fgColor rgb="FFFFFF00"/>
        <bgColor rgb="FFFFFF00"/>
      </patternFill>
    </fill>
  </fills>
  <borders count="5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0">
    <xf numFmtId="0" fontId="0" fillId="0" borderId="0" xfId="0" applyFont="1" applyAlignment="1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 vertical="center"/>
    </xf>
    <xf numFmtId="165" fontId="5" fillId="2" borderId="2" xfId="0" applyNumberFormat="1" applyFont="1" applyFill="1" applyBorder="1"/>
    <xf numFmtId="165" fontId="1" fillId="2" borderId="2" xfId="0" applyNumberFormat="1" applyFont="1" applyFill="1" applyBorder="1" applyAlignment="1">
      <alignment horizontal="right"/>
    </xf>
    <xf numFmtId="165" fontId="5" fillId="2" borderId="3" xfId="0" applyNumberFormat="1" applyFont="1" applyFill="1" applyBorder="1"/>
    <xf numFmtId="165" fontId="1" fillId="2" borderId="3" xfId="0" applyNumberFormat="1" applyFont="1" applyFill="1" applyBorder="1" applyAlignment="1">
      <alignment horizontal="right"/>
    </xf>
    <xf numFmtId="165" fontId="6" fillId="0" borderId="0" xfId="0" applyNumberFormat="1" applyFont="1"/>
    <xf numFmtId="0" fontId="5" fillId="0" borderId="0" xfId="0" applyFont="1"/>
    <xf numFmtId="165" fontId="1" fillId="2" borderId="2" xfId="0" applyNumberFormat="1" applyFont="1" applyFill="1" applyBorder="1"/>
    <xf numFmtId="165" fontId="1" fillId="3" borderId="2" xfId="0" applyNumberFormat="1" applyFont="1" applyFill="1" applyBorder="1"/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5" xfId="0" applyFont="1" applyBorder="1"/>
    <xf numFmtId="0" fontId="1" fillId="0" borderId="6" xfId="0" applyFont="1" applyBorder="1"/>
    <xf numFmtId="0" fontId="0" fillId="0" borderId="0" xfId="0" applyFont="1"/>
    <xf numFmtId="0" fontId="3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165" fontId="1" fillId="0" borderId="20" xfId="0" applyNumberFormat="1" applyFont="1" applyBorder="1"/>
    <xf numFmtId="165" fontId="1" fillId="0" borderId="21" xfId="0" applyNumberFormat="1" applyFont="1" applyBorder="1"/>
    <xf numFmtId="0" fontId="1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166" fontId="3" fillId="2" borderId="23" xfId="0" applyNumberFormat="1" applyFont="1" applyFill="1" applyBorder="1"/>
    <xf numFmtId="166" fontId="3" fillId="2" borderId="22" xfId="0" applyNumberFormat="1" applyFont="1" applyFill="1" applyBorder="1"/>
    <xf numFmtId="9" fontId="3" fillId="2" borderId="23" xfId="0" applyNumberFormat="1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165" fontId="1" fillId="0" borderId="25" xfId="0" applyNumberFormat="1" applyFont="1" applyBorder="1"/>
    <xf numFmtId="165" fontId="1" fillId="0" borderId="26" xfId="0" applyNumberFormat="1" applyFont="1" applyBorder="1"/>
    <xf numFmtId="0" fontId="1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66" fontId="3" fillId="2" borderId="29" xfId="0" applyNumberFormat="1" applyFont="1" applyFill="1" applyBorder="1"/>
    <xf numFmtId="166" fontId="3" fillId="2" borderId="28" xfId="0" applyNumberFormat="1" applyFont="1" applyFill="1" applyBorder="1"/>
    <xf numFmtId="9" fontId="3" fillId="2" borderId="29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166" fontId="3" fillId="2" borderId="31" xfId="0" applyNumberFormat="1" applyFont="1" applyFill="1" applyBorder="1"/>
    <xf numFmtId="167" fontId="3" fillId="2" borderId="31" xfId="0" applyNumberFormat="1" applyFont="1" applyFill="1" applyBorder="1" applyAlignment="1">
      <alignment horizontal="center" vertical="center"/>
    </xf>
    <xf numFmtId="0" fontId="1" fillId="2" borderId="33" xfId="0" applyFont="1" applyFill="1" applyBorder="1"/>
    <xf numFmtId="0" fontId="1" fillId="2" borderId="18" xfId="0" applyFont="1" applyFill="1" applyBorder="1"/>
    <xf numFmtId="0" fontId="1" fillId="2" borderId="34" xfId="0" applyFont="1" applyFill="1" applyBorder="1"/>
    <xf numFmtId="166" fontId="1" fillId="2" borderId="35" xfId="0" applyNumberFormat="1" applyFont="1" applyFill="1" applyBorder="1"/>
    <xf numFmtId="166" fontId="1" fillId="2" borderId="13" xfId="0" applyNumberFormat="1" applyFont="1" applyFill="1" applyBorder="1"/>
    <xf numFmtId="0" fontId="1" fillId="0" borderId="0" xfId="0" applyFont="1" applyAlignment="1">
      <alignment vertical="center"/>
    </xf>
    <xf numFmtId="166" fontId="1" fillId="2" borderId="12" xfId="0" applyNumberFormat="1" applyFont="1" applyFill="1" applyBorder="1"/>
    <xf numFmtId="166" fontId="1" fillId="2" borderId="34" xfId="0" applyNumberFormat="1" applyFont="1" applyFill="1" applyBorder="1"/>
    <xf numFmtId="0" fontId="3" fillId="4" borderId="12" xfId="0" applyFont="1" applyFill="1" applyBorder="1" applyAlignment="1">
      <alignment horizontal="center"/>
    </xf>
    <xf numFmtId="0" fontId="1" fillId="0" borderId="29" xfId="0" applyFont="1" applyBorder="1" applyAlignment="1">
      <alignment vertical="center"/>
    </xf>
    <xf numFmtId="0" fontId="1" fillId="0" borderId="36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66" fontId="3" fillId="2" borderId="12" xfId="0" applyNumberFormat="1" applyFont="1" applyFill="1" applyBorder="1"/>
    <xf numFmtId="167" fontId="3" fillId="2" borderId="2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5" borderId="3" xfId="0" applyFont="1" applyFill="1" applyBorder="1" applyAlignment="1">
      <alignment wrapText="1"/>
    </xf>
    <xf numFmtId="164" fontId="1" fillId="0" borderId="0" xfId="0" applyNumberFormat="1" applyFont="1"/>
    <xf numFmtId="164" fontId="3" fillId="4" borderId="12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1" fillId="0" borderId="40" xfId="0" applyFont="1" applyBorder="1"/>
    <xf numFmtId="165" fontId="1" fillId="0" borderId="41" xfId="0" applyNumberFormat="1" applyFont="1" applyBorder="1"/>
    <xf numFmtId="165" fontId="1" fillId="0" borderId="42" xfId="0" applyNumberFormat="1" applyFont="1" applyBorder="1"/>
    <xf numFmtId="165" fontId="1" fillId="0" borderId="43" xfId="0" applyNumberFormat="1" applyFont="1" applyBorder="1"/>
    <xf numFmtId="165" fontId="1" fillId="2" borderId="44" xfId="0" applyNumberFormat="1" applyFont="1" applyFill="1" applyBorder="1"/>
    <xf numFmtId="0" fontId="1" fillId="0" borderId="19" xfId="0" applyFont="1" applyBorder="1"/>
    <xf numFmtId="165" fontId="1" fillId="0" borderId="27" xfId="0" applyNumberFormat="1" applyFont="1" applyBorder="1"/>
    <xf numFmtId="165" fontId="1" fillId="0" borderId="36" xfId="0" applyNumberFormat="1" applyFont="1" applyBorder="1"/>
    <xf numFmtId="165" fontId="1" fillId="2" borderId="23" xfId="0" applyNumberFormat="1" applyFont="1" applyFill="1" applyBorder="1"/>
    <xf numFmtId="165" fontId="1" fillId="0" borderId="45" xfId="0" applyNumberFormat="1" applyFont="1" applyBorder="1"/>
    <xf numFmtId="165" fontId="1" fillId="0" borderId="46" xfId="0" applyNumberFormat="1" applyFont="1" applyBorder="1"/>
    <xf numFmtId="165" fontId="1" fillId="0" borderId="47" xfId="0" applyNumberFormat="1" applyFont="1" applyBorder="1"/>
    <xf numFmtId="165" fontId="1" fillId="2" borderId="29" xfId="0" applyNumberFormat="1" applyFont="1" applyFill="1" applyBorder="1"/>
    <xf numFmtId="0" fontId="3" fillId="2" borderId="33" xfId="0" applyFont="1" applyFill="1" applyBorder="1"/>
    <xf numFmtId="165" fontId="3" fillId="2" borderId="48" xfId="0" applyNumberFormat="1" applyFont="1" applyFill="1" applyBorder="1"/>
    <xf numFmtId="165" fontId="3" fillId="2" borderId="49" xfId="0" applyNumberFormat="1" applyFont="1" applyFill="1" applyBorder="1"/>
    <xf numFmtId="165" fontId="1" fillId="2" borderId="50" xfId="0" applyNumberFormat="1" applyFont="1" applyFill="1" applyBorder="1"/>
    <xf numFmtId="165" fontId="3" fillId="2" borderId="34" xfId="0" applyNumberFormat="1" applyFont="1" applyFill="1" applyBorder="1"/>
    <xf numFmtId="165" fontId="1" fillId="0" borderId="2" xfId="0" applyNumberFormat="1" applyFont="1" applyBorder="1"/>
    <xf numFmtId="165" fontId="1" fillId="0" borderId="51" xfId="0" applyNumberFormat="1" applyFont="1" applyBorder="1"/>
    <xf numFmtId="165" fontId="8" fillId="0" borderId="20" xfId="0" applyNumberFormat="1" applyFont="1" applyBorder="1" applyAlignment="1"/>
    <xf numFmtId="0" fontId="1" fillId="5" borderId="3" xfId="0" applyFont="1" applyFill="1" applyBorder="1"/>
    <xf numFmtId="0" fontId="1" fillId="0" borderId="52" xfId="0" applyFont="1" applyBorder="1"/>
    <xf numFmtId="165" fontId="1" fillId="0" borderId="53" xfId="0" applyNumberFormat="1" applyFont="1" applyBorder="1"/>
    <xf numFmtId="165" fontId="1" fillId="0" borderId="54" xfId="0" applyNumberFormat="1" applyFont="1" applyBorder="1"/>
    <xf numFmtId="0" fontId="1" fillId="0" borderId="41" xfId="0" applyFont="1" applyBorder="1" applyAlignment="1">
      <alignment wrapText="1"/>
    </xf>
    <xf numFmtId="0" fontId="1" fillId="0" borderId="20" xfId="0" applyFont="1" applyBorder="1" applyAlignment="1">
      <alignment wrapText="1"/>
    </xf>
    <xf numFmtId="165" fontId="1" fillId="0" borderId="2" xfId="0" applyNumberFormat="1" applyFont="1" applyBorder="1" applyAlignment="1">
      <alignment wrapText="1"/>
    </xf>
    <xf numFmtId="0" fontId="1" fillId="0" borderId="25" xfId="0" applyFont="1" applyBorder="1" applyAlignment="1">
      <alignment wrapText="1"/>
    </xf>
    <xf numFmtId="165" fontId="3" fillId="2" borderId="55" xfId="0" applyNumberFormat="1" applyFont="1" applyFill="1" applyBorder="1"/>
    <xf numFmtId="0" fontId="1" fillId="0" borderId="40" xfId="0" applyFont="1" applyBorder="1" applyAlignment="1">
      <alignment wrapText="1"/>
    </xf>
    <xf numFmtId="0" fontId="1" fillId="0" borderId="56" xfId="0" applyFont="1" applyBorder="1"/>
    <xf numFmtId="0" fontId="1" fillId="0" borderId="19" xfId="0" applyFont="1" applyBorder="1" applyAlignment="1">
      <alignment wrapText="1"/>
    </xf>
    <xf numFmtId="0" fontId="1" fillId="0" borderId="57" xfId="0" applyFont="1" applyBorder="1"/>
    <xf numFmtId="0" fontId="1" fillId="0" borderId="24" xfId="0" applyFont="1" applyBorder="1" applyAlignment="1">
      <alignment wrapText="1"/>
    </xf>
    <xf numFmtId="0" fontId="1" fillId="0" borderId="58" xfId="0" applyFont="1" applyBorder="1"/>
    <xf numFmtId="165" fontId="1" fillId="2" borderId="27" xfId="0" applyNumberFormat="1" applyFont="1" applyFill="1" applyBorder="1"/>
    <xf numFmtId="165" fontId="1" fillId="2" borderId="36" xfId="0" applyNumberFormat="1" applyFont="1" applyFill="1" applyBorder="1"/>
    <xf numFmtId="0" fontId="3" fillId="2" borderId="49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 applyAlignment="1"/>
    <xf numFmtId="164" fontId="1" fillId="0" borderId="1" xfId="0" applyNumberFormat="1" applyFont="1" applyBorder="1" applyAlignment="1">
      <alignment horizontal="center"/>
    </xf>
    <xf numFmtId="0" fontId="4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7" xfId="0" applyFont="1" applyBorder="1" applyAlignment="1">
      <alignment vertical="top"/>
    </xf>
    <xf numFmtId="0" fontId="4" fillId="0" borderId="8" xfId="0" applyFont="1" applyBorder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1" fillId="0" borderId="37" xfId="0" applyFont="1" applyBorder="1"/>
    <xf numFmtId="0" fontId="4" fillId="0" borderId="37" xfId="0" applyFont="1" applyBorder="1"/>
    <xf numFmtId="0" fontId="4" fillId="0" borderId="38" xfId="0" applyFont="1" applyBorder="1"/>
    <xf numFmtId="0" fontId="2" fillId="0" borderId="0" xfId="0" applyFont="1" applyAlignment="1">
      <alignment horizontal="center" vertical="top" wrapText="1"/>
    </xf>
    <xf numFmtId="0" fontId="1" fillId="0" borderId="10" xfId="0" applyFont="1" applyBorder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</xdr:colOff>
      <xdr:row>1</xdr:row>
      <xdr:rowOff>38100</xdr:rowOff>
    </xdr:from>
    <xdr:ext cx="1666875" cy="1543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49</xdr:row>
      <xdr:rowOff>133350</xdr:rowOff>
    </xdr:from>
    <xdr:ext cx="1495425" cy="16002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114300</xdr:colOff>
      <xdr:row>49</xdr:row>
      <xdr:rowOff>152400</xdr:rowOff>
    </xdr:from>
    <xdr:ext cx="2809875" cy="1552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733425</xdr:colOff>
      <xdr:row>0</xdr:row>
      <xdr:rowOff>190500</xdr:rowOff>
    </xdr:from>
    <xdr:ext cx="1619250" cy="1628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581025</xdr:colOff>
      <xdr:row>43</xdr:row>
      <xdr:rowOff>133350</xdr:rowOff>
    </xdr:from>
    <xdr:ext cx="1409700" cy="17145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381000</xdr:colOff>
      <xdr:row>43</xdr:row>
      <xdr:rowOff>152400</xdr:rowOff>
    </xdr:from>
    <xdr:ext cx="2752725" cy="16573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628650</xdr:colOff>
      <xdr:row>1</xdr:row>
      <xdr:rowOff>38100</xdr:rowOff>
    </xdr:from>
    <xdr:ext cx="1600200" cy="1657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676275</xdr:colOff>
      <xdr:row>49</xdr:row>
      <xdr:rowOff>76200</xdr:rowOff>
    </xdr:from>
    <xdr:ext cx="1495425" cy="16002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238125</xdr:colOff>
      <xdr:row>49</xdr:row>
      <xdr:rowOff>85725</xdr:rowOff>
    </xdr:from>
    <xdr:ext cx="2724150" cy="1552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647700</xdr:colOff>
      <xdr:row>1</xdr:row>
      <xdr:rowOff>9525</xdr:rowOff>
    </xdr:from>
    <xdr:ext cx="1609725" cy="1657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676275</xdr:colOff>
      <xdr:row>48</xdr:row>
      <xdr:rowOff>76200</xdr:rowOff>
    </xdr:from>
    <xdr:ext cx="1495425" cy="160020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238125</xdr:colOff>
      <xdr:row>48</xdr:row>
      <xdr:rowOff>85725</xdr:rowOff>
    </xdr:from>
    <xdr:ext cx="2724150" cy="1552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opLeftCell="A24" workbookViewId="0"/>
  </sheetViews>
  <sheetFormatPr defaultColWidth="12.6640625" defaultRowHeight="15" customHeight="1" x14ac:dyDescent="0.3"/>
  <cols>
    <col min="1" max="1" width="3.6640625" customWidth="1"/>
    <col min="2" max="2" width="18.75" customWidth="1"/>
    <col min="3" max="3" width="4.5" customWidth="1"/>
    <col min="4" max="4" width="13.5" customWidth="1"/>
    <col min="5" max="5" width="3.9140625" customWidth="1"/>
    <col min="6" max="6" width="3.75" customWidth="1"/>
    <col min="7" max="7" width="17.75" customWidth="1"/>
    <col min="8" max="8" width="3.6640625" customWidth="1"/>
    <col min="9" max="9" width="17.5" customWidth="1"/>
    <col min="10" max="26" width="7.75" customWidth="1"/>
  </cols>
  <sheetData>
    <row r="1" spans="1:26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" x14ac:dyDescent="0.5">
      <c r="A2" s="1"/>
      <c r="B2" s="113" t="s">
        <v>0</v>
      </c>
      <c r="C2" s="114"/>
      <c r="D2" s="114"/>
      <c r="E2" s="114"/>
      <c r="F2" s="114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5" customHeight="1" x14ac:dyDescent="0.35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 x14ac:dyDescent="0.35">
      <c r="A4" s="1"/>
      <c r="B4" s="2" t="s">
        <v>1</v>
      </c>
      <c r="C4" s="3"/>
      <c r="D4" s="115" t="s">
        <v>2</v>
      </c>
      <c r="E4" s="116"/>
      <c r="F4" s="116"/>
      <c r="G4" s="116"/>
      <c r="H4" s="11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.5" customHeight="1" x14ac:dyDescent="0.35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35">
      <c r="A6" s="1"/>
      <c r="B6" s="2" t="s">
        <v>3</v>
      </c>
      <c r="C6" s="3"/>
      <c r="D6" s="115" t="s">
        <v>4</v>
      </c>
      <c r="E6" s="116"/>
      <c r="F6" s="116"/>
      <c r="G6" s="116"/>
      <c r="H6" s="116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35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35">
      <c r="A8" s="1"/>
      <c r="B8" s="2" t="s">
        <v>5</v>
      </c>
      <c r="C8" s="3"/>
      <c r="D8" s="117">
        <v>44520</v>
      </c>
      <c r="E8" s="116"/>
      <c r="F8" s="116"/>
      <c r="G8" s="116"/>
      <c r="H8" s="116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5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1"/>
      <c r="B11" s="2" t="s">
        <v>6</v>
      </c>
      <c r="C11" s="2"/>
      <c r="D11" s="2" t="s">
        <v>7</v>
      </c>
      <c r="E11" s="2"/>
      <c r="F11" s="2"/>
      <c r="G11" s="2" t="s">
        <v>8</v>
      </c>
      <c r="H11" s="2"/>
      <c r="I11" s="2" t="s">
        <v>9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1"/>
      <c r="B13" s="1" t="s">
        <v>10</v>
      </c>
      <c r="C13" s="1"/>
      <c r="D13" s="4"/>
      <c r="E13" s="1"/>
      <c r="F13" s="1"/>
      <c r="G13" s="1" t="s">
        <v>11</v>
      </c>
      <c r="H13" s="1"/>
      <c r="I13" s="5">
        <v>280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5" x14ac:dyDescent="0.35">
      <c r="A14" s="1"/>
      <c r="B14" s="1" t="s">
        <v>12</v>
      </c>
      <c r="C14" s="1"/>
      <c r="D14" s="6"/>
      <c r="E14" s="1"/>
      <c r="F14" s="1"/>
      <c r="G14" s="1" t="s">
        <v>13</v>
      </c>
      <c r="H14" s="1"/>
      <c r="I14" s="7">
        <v>200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1"/>
      <c r="B15" s="1" t="s">
        <v>14</v>
      </c>
      <c r="C15" s="1"/>
      <c r="D15" s="6"/>
      <c r="E15" s="1"/>
      <c r="F15" s="1"/>
      <c r="G15" s="1" t="s">
        <v>15</v>
      </c>
      <c r="H15" s="1"/>
      <c r="I15" s="7">
        <v>60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1"/>
      <c r="B16" s="1" t="s">
        <v>16</v>
      </c>
      <c r="C16" s="1"/>
      <c r="D16" s="6"/>
      <c r="E16" s="1"/>
      <c r="F16" s="1"/>
      <c r="G16" s="1" t="s">
        <v>17</v>
      </c>
      <c r="H16" s="1"/>
      <c r="I16" s="7">
        <v>10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1"/>
      <c r="B17" s="1" t="s">
        <v>18</v>
      </c>
      <c r="C17" s="1"/>
      <c r="D17" s="6"/>
      <c r="E17" s="1"/>
      <c r="F17" s="1"/>
      <c r="G17" s="1" t="s">
        <v>19</v>
      </c>
      <c r="H17" s="1"/>
      <c r="I17" s="7">
        <v>29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1"/>
      <c r="B18" s="1" t="s">
        <v>20</v>
      </c>
      <c r="C18" s="1"/>
      <c r="D18" s="7">
        <v>240</v>
      </c>
      <c r="E18" s="1"/>
      <c r="F18" s="1"/>
      <c r="G18" s="1" t="s">
        <v>21</v>
      </c>
      <c r="H18" s="1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1"/>
      <c r="B19" s="1" t="s">
        <v>22</v>
      </c>
      <c r="C19" s="1"/>
      <c r="D19" s="6"/>
      <c r="E19" s="1"/>
      <c r="F19" s="1"/>
      <c r="G19" s="1" t="s">
        <v>23</v>
      </c>
      <c r="H19" s="1"/>
      <c r="I19" s="7">
        <v>10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1"/>
      <c r="B20" s="1" t="s">
        <v>24</v>
      </c>
      <c r="C20" s="1"/>
      <c r="D20" s="6"/>
      <c r="E20" s="8">
        <f>SUM(D13:D20)</f>
        <v>240</v>
      </c>
      <c r="F20" s="1"/>
      <c r="G20" s="1"/>
      <c r="H20" s="1"/>
      <c r="I20" s="9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1"/>
      <c r="C21" s="1"/>
      <c r="D21" s="9"/>
      <c r="E21" s="1"/>
      <c r="F21" s="1"/>
      <c r="G21" s="1" t="s">
        <v>25</v>
      </c>
      <c r="H21" s="1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1" t="s">
        <v>26</v>
      </c>
      <c r="C22" s="1"/>
      <c r="D22" s="7">
        <v>700</v>
      </c>
      <c r="E22" s="1"/>
      <c r="F22" s="1"/>
      <c r="G22" s="1" t="s">
        <v>27</v>
      </c>
      <c r="H22" s="1"/>
      <c r="I22" s="6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1" t="s">
        <v>28</v>
      </c>
      <c r="C23" s="1"/>
      <c r="D23" s="6"/>
      <c r="E23" s="1"/>
      <c r="F23" s="1"/>
      <c r="G23" s="1"/>
      <c r="H23" s="1"/>
      <c r="I23" s="9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1" t="s">
        <v>29</v>
      </c>
      <c r="C24" s="1"/>
      <c r="D24" s="7">
        <v>280</v>
      </c>
      <c r="E24" s="1"/>
      <c r="F24" s="1"/>
      <c r="G24" s="1" t="s">
        <v>30</v>
      </c>
      <c r="H24" s="1"/>
      <c r="I24" s="7">
        <v>150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1" t="s">
        <v>31</v>
      </c>
      <c r="C25" s="1"/>
      <c r="D25" s="7">
        <v>200</v>
      </c>
      <c r="E25" s="8">
        <f>SUM(D22:D25)</f>
        <v>1180</v>
      </c>
      <c r="F25" s="1"/>
      <c r="G25" s="1" t="s">
        <v>32</v>
      </c>
      <c r="H25" s="1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1"/>
      <c r="C26" s="1"/>
      <c r="D26" s="1"/>
      <c r="E26" s="1"/>
      <c r="F26" s="1"/>
      <c r="G26" s="1" t="s">
        <v>33</v>
      </c>
      <c r="H26" s="1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1" t="s">
        <v>34</v>
      </c>
      <c r="C27" s="1"/>
      <c r="D27" s="10"/>
      <c r="E27" s="1"/>
      <c r="F27" s="1"/>
      <c r="G27" s="1" t="s">
        <v>35</v>
      </c>
      <c r="H27" s="1"/>
      <c r="I27" s="7">
        <v>50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1" t="s">
        <v>36</v>
      </c>
      <c r="C28" s="1"/>
      <c r="D28" s="10"/>
      <c r="E28" s="1"/>
      <c r="F28" s="1"/>
      <c r="G28" s="1" t="s">
        <v>37</v>
      </c>
      <c r="H28" s="1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1"/>
      <c r="C29" s="1"/>
      <c r="D29" s="1"/>
      <c r="E29" s="1"/>
      <c r="F29" s="1"/>
      <c r="G29" s="1" t="s">
        <v>38</v>
      </c>
      <c r="H29" s="1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1" t="s">
        <v>39</v>
      </c>
      <c r="C30" s="1"/>
      <c r="D30" s="10"/>
      <c r="E30" s="1"/>
      <c r="F30" s="1"/>
      <c r="G30" s="1" t="s">
        <v>40</v>
      </c>
      <c r="H30" s="1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1"/>
      <c r="C31" s="1"/>
      <c r="D31" s="1"/>
      <c r="E31" s="1"/>
      <c r="F31" s="1"/>
      <c r="G31" s="1"/>
      <c r="H31" s="1"/>
      <c r="I31" s="9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1"/>
      <c r="C32" s="1"/>
      <c r="D32" s="1"/>
      <c r="E32" s="1"/>
      <c r="F32" s="1"/>
      <c r="G32" s="1" t="s">
        <v>41</v>
      </c>
      <c r="H32" s="1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1"/>
      <c r="C33" s="1"/>
      <c r="D33" s="1"/>
      <c r="E33" s="1"/>
      <c r="F33" s="1"/>
      <c r="G33" s="1" t="s">
        <v>42</v>
      </c>
      <c r="H33" s="1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 t="s">
        <v>43</v>
      </c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9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 t="s">
        <v>44</v>
      </c>
      <c r="H36" s="1"/>
      <c r="I36" s="7">
        <v>50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 t="s">
        <v>45</v>
      </c>
      <c r="C38" s="1"/>
      <c r="D38" s="11">
        <f>SUM(D13:D34)</f>
        <v>1420</v>
      </c>
      <c r="E38" s="1"/>
      <c r="F38" s="1"/>
      <c r="G38" s="1" t="s">
        <v>45</v>
      </c>
      <c r="H38" s="1"/>
      <c r="I38" s="11">
        <f>SUM(I13:I36)</f>
        <v>839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2" t="s">
        <v>46</v>
      </c>
      <c r="C41" s="13"/>
      <c r="D41" s="13"/>
      <c r="E41" s="13"/>
      <c r="F41" s="13"/>
      <c r="G41" s="14"/>
      <c r="H41" s="14"/>
      <c r="I41" s="15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18"/>
      <c r="C42" s="114"/>
      <c r="D42" s="114"/>
      <c r="E42" s="114"/>
      <c r="F42" s="114"/>
      <c r="G42" s="114"/>
      <c r="H42" s="114"/>
      <c r="I42" s="119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20"/>
      <c r="C43" s="114"/>
      <c r="D43" s="114"/>
      <c r="E43" s="114"/>
      <c r="F43" s="114"/>
      <c r="G43" s="114"/>
      <c r="H43" s="114"/>
      <c r="I43" s="119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20"/>
      <c r="C44" s="114"/>
      <c r="D44" s="114"/>
      <c r="E44" s="114"/>
      <c r="F44" s="114"/>
      <c r="G44" s="114"/>
      <c r="H44" s="114"/>
      <c r="I44" s="119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20"/>
      <c r="C45" s="114"/>
      <c r="D45" s="114"/>
      <c r="E45" s="114"/>
      <c r="F45" s="114"/>
      <c r="G45" s="114"/>
      <c r="H45" s="114"/>
      <c r="I45" s="119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20"/>
      <c r="C46" s="114"/>
      <c r="D46" s="114"/>
      <c r="E46" s="114"/>
      <c r="F46" s="114"/>
      <c r="G46" s="114"/>
      <c r="H46" s="114"/>
      <c r="I46" s="11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21"/>
      <c r="C47" s="122"/>
      <c r="D47" s="122"/>
      <c r="E47" s="122"/>
      <c r="F47" s="122"/>
      <c r="G47" s="122"/>
      <c r="H47" s="122"/>
      <c r="I47" s="12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F2"/>
    <mergeCell ref="D4:H4"/>
    <mergeCell ref="D6:H6"/>
    <mergeCell ref="D8:H8"/>
    <mergeCell ref="B42:I47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zoomScale="60" zoomScaleNormal="60" workbookViewId="0">
      <selection activeCell="U21" sqref="U21"/>
    </sheetView>
  </sheetViews>
  <sheetFormatPr defaultColWidth="12.6640625" defaultRowHeight="15" customHeight="1" x14ac:dyDescent="0.3"/>
  <cols>
    <col min="1" max="1" width="4.5" customWidth="1"/>
    <col min="2" max="2" width="17.5" customWidth="1"/>
    <col min="3" max="3" width="12.5" customWidth="1"/>
    <col min="4" max="4" width="12.25" customWidth="1"/>
    <col min="5" max="16" width="10.4140625" customWidth="1"/>
    <col min="17" max="17" width="11.9140625" customWidth="1"/>
    <col min="18" max="20" width="11.75" customWidth="1"/>
    <col min="21" max="21" width="7.9140625" customWidth="1"/>
    <col min="22" max="26" width="7.75" customWidth="1"/>
  </cols>
  <sheetData>
    <row r="1" spans="1:26" ht="18" customHeight="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4" customHeight="1" x14ac:dyDescent="0.35">
      <c r="A2" s="16"/>
      <c r="B2" s="127" t="s">
        <v>47</v>
      </c>
      <c r="C2" s="16"/>
      <c r="D2" s="2" t="s">
        <v>1</v>
      </c>
      <c r="E2" s="16"/>
      <c r="F2" s="115" t="s">
        <v>2</v>
      </c>
      <c r="G2" s="116"/>
      <c r="H2" s="116"/>
      <c r="I2" s="116"/>
      <c r="J2" s="1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4.25" customHeight="1" x14ac:dyDescent="0.35">
      <c r="A3" s="16"/>
      <c r="B3" s="114"/>
      <c r="C3" s="16"/>
      <c r="D3" s="2"/>
      <c r="E3" s="16"/>
      <c r="F3" s="1"/>
      <c r="G3" s="1"/>
      <c r="H3" s="1"/>
      <c r="I3" s="1"/>
      <c r="J3" s="1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4" customHeight="1" x14ac:dyDescent="0.35">
      <c r="A4" s="16"/>
      <c r="B4" s="114"/>
      <c r="C4" s="16"/>
      <c r="D4" s="2" t="s">
        <v>3</v>
      </c>
      <c r="E4" s="16"/>
      <c r="F4" s="115" t="s">
        <v>4</v>
      </c>
      <c r="G4" s="116"/>
      <c r="H4" s="116"/>
      <c r="I4" s="116"/>
      <c r="J4" s="1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4.25" customHeight="1" x14ac:dyDescent="0.35">
      <c r="A5" s="16"/>
      <c r="B5" s="16"/>
      <c r="C5" s="16"/>
      <c r="D5" s="2"/>
      <c r="E5" s="16"/>
      <c r="F5" s="1"/>
      <c r="G5" s="1"/>
      <c r="H5" s="1"/>
      <c r="I5" s="1"/>
      <c r="J5" s="1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4" customHeight="1" x14ac:dyDescent="0.35">
      <c r="A6" s="16"/>
      <c r="B6" s="16"/>
      <c r="C6" s="16"/>
      <c r="D6" s="2" t="s">
        <v>5</v>
      </c>
      <c r="E6" s="16"/>
      <c r="F6" s="117">
        <v>44520</v>
      </c>
      <c r="G6" s="116"/>
      <c r="H6" s="116"/>
      <c r="I6" s="116"/>
      <c r="J6" s="1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14.25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14.25" customHeight="1" x14ac:dyDescent="0.35">
      <c r="A8" s="16"/>
      <c r="B8" s="2" t="s">
        <v>48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6"/>
      <c r="W8" s="16"/>
      <c r="X8" s="16"/>
      <c r="Y8" s="16"/>
      <c r="Z8" s="16"/>
    </row>
    <row r="9" spans="1:26" ht="14.25" customHeight="1" x14ac:dyDescent="0.35">
      <c r="A9" s="16"/>
      <c r="B9" s="1"/>
      <c r="C9" s="1"/>
      <c r="D9" s="17" t="s">
        <v>49</v>
      </c>
      <c r="E9" s="18" t="s">
        <v>50</v>
      </c>
      <c r="F9" s="18" t="s">
        <v>51</v>
      </c>
      <c r="G9" s="18" t="s">
        <v>52</v>
      </c>
      <c r="H9" s="18" t="s">
        <v>53</v>
      </c>
      <c r="I9" s="18" t="s">
        <v>54</v>
      </c>
      <c r="J9" s="18" t="s">
        <v>55</v>
      </c>
      <c r="K9" s="18" t="s">
        <v>56</v>
      </c>
      <c r="L9" s="18" t="s">
        <v>57</v>
      </c>
      <c r="M9" s="18" t="s">
        <v>58</v>
      </c>
      <c r="N9" s="18" t="s">
        <v>59</v>
      </c>
      <c r="O9" s="18" t="s">
        <v>60</v>
      </c>
      <c r="P9" s="18" t="s">
        <v>61</v>
      </c>
      <c r="Q9" s="1"/>
      <c r="R9" s="1"/>
      <c r="S9" s="1"/>
      <c r="T9" s="1"/>
      <c r="U9" s="1"/>
      <c r="V9" s="16"/>
      <c r="W9" s="16"/>
      <c r="X9" s="16"/>
      <c r="Y9" s="16"/>
      <c r="Z9" s="16"/>
    </row>
    <row r="10" spans="1:26" ht="14.25" customHeight="1" x14ac:dyDescent="0.3">
      <c r="A10" s="16"/>
      <c r="B10" s="19" t="s">
        <v>62</v>
      </c>
      <c r="C10" s="20" t="s">
        <v>63</v>
      </c>
      <c r="D10" s="21" t="s">
        <v>64</v>
      </c>
      <c r="E10" s="22" t="s">
        <v>65</v>
      </c>
      <c r="F10" s="23" t="s">
        <v>66</v>
      </c>
      <c r="G10" s="22" t="s">
        <v>67</v>
      </c>
      <c r="H10" s="23" t="s">
        <v>68</v>
      </c>
      <c r="I10" s="22" t="s">
        <v>69</v>
      </c>
      <c r="J10" s="23" t="s">
        <v>70</v>
      </c>
      <c r="K10" s="22" t="s">
        <v>71</v>
      </c>
      <c r="L10" s="23" t="s">
        <v>72</v>
      </c>
      <c r="M10" s="22" t="s">
        <v>73</v>
      </c>
      <c r="N10" s="23" t="s">
        <v>74</v>
      </c>
      <c r="O10" s="22" t="s">
        <v>75</v>
      </c>
      <c r="P10" s="23" t="s">
        <v>76</v>
      </c>
      <c r="Q10" s="24" t="s">
        <v>77</v>
      </c>
      <c r="R10" s="25" t="s">
        <v>78</v>
      </c>
      <c r="S10" s="24" t="s">
        <v>79</v>
      </c>
      <c r="T10" s="25" t="s">
        <v>80</v>
      </c>
      <c r="U10" s="26" t="s">
        <v>81</v>
      </c>
      <c r="V10" s="16"/>
      <c r="W10" s="16"/>
      <c r="X10" s="16"/>
      <c r="Y10" s="16"/>
      <c r="Z10" s="16"/>
    </row>
    <row r="11" spans="1:26" ht="14.25" customHeight="1" x14ac:dyDescent="0.35">
      <c r="A11" s="16"/>
      <c r="B11" s="27" t="s">
        <v>82</v>
      </c>
      <c r="C11" s="28">
        <v>20</v>
      </c>
      <c r="D11" s="29">
        <v>10</v>
      </c>
      <c r="E11" s="30">
        <v>10</v>
      </c>
      <c r="F11" s="31">
        <v>5</v>
      </c>
      <c r="G11" s="31">
        <v>10</v>
      </c>
      <c r="H11" s="31">
        <v>7</v>
      </c>
      <c r="I11" s="31">
        <v>7</v>
      </c>
      <c r="J11" s="31">
        <v>10</v>
      </c>
      <c r="K11" s="32">
        <v>10</v>
      </c>
      <c r="L11" s="32">
        <v>10</v>
      </c>
      <c r="M11" s="32">
        <v>10</v>
      </c>
      <c r="N11" s="32">
        <v>10</v>
      </c>
      <c r="O11" s="31">
        <v>10</v>
      </c>
      <c r="P11" s="31">
        <v>10</v>
      </c>
      <c r="Q11" s="33">
        <f t="shared" ref="Q11:Q20" si="0">SUM(E11:P11)</f>
        <v>109</v>
      </c>
      <c r="R11" s="34">
        <f t="shared" ref="R11:R20" si="1">SUM(Q11*C11)</f>
        <v>2180</v>
      </c>
      <c r="S11" s="35">
        <f t="shared" ref="S11:S20" si="2">SUM(Q11*D11)</f>
        <v>1090</v>
      </c>
      <c r="T11" s="34">
        <f t="shared" ref="T11:T20" si="3">SUM(R11-S11)</f>
        <v>1090</v>
      </c>
      <c r="U11" s="36">
        <f t="shared" ref="U11:U21" si="4">IF(T11=0,"",SUM(T11/R11))</f>
        <v>0.5</v>
      </c>
      <c r="V11" s="16"/>
      <c r="W11" s="16"/>
      <c r="X11" s="16"/>
      <c r="Y11" s="16"/>
      <c r="Z11" s="16"/>
    </row>
    <row r="12" spans="1:26" ht="14.25" customHeight="1" x14ac:dyDescent="0.35">
      <c r="A12" s="16"/>
      <c r="B12" s="27" t="s">
        <v>83</v>
      </c>
      <c r="C12" s="28">
        <v>5</v>
      </c>
      <c r="D12" s="29">
        <v>1</v>
      </c>
      <c r="E12" s="30">
        <v>5</v>
      </c>
      <c r="F12" s="31">
        <v>4</v>
      </c>
      <c r="G12" s="31">
        <v>4</v>
      </c>
      <c r="H12" s="31">
        <v>4</v>
      </c>
      <c r="I12" s="31">
        <v>5</v>
      </c>
      <c r="J12" s="31">
        <v>5</v>
      </c>
      <c r="K12" s="31">
        <v>5</v>
      </c>
      <c r="L12" s="31">
        <v>5</v>
      </c>
      <c r="M12" s="31">
        <v>6</v>
      </c>
      <c r="N12" s="31">
        <v>6</v>
      </c>
      <c r="O12" s="31">
        <v>6</v>
      </c>
      <c r="P12" s="31">
        <v>6</v>
      </c>
      <c r="Q12" s="33">
        <f t="shared" si="0"/>
        <v>61</v>
      </c>
      <c r="R12" s="34">
        <f t="shared" si="1"/>
        <v>305</v>
      </c>
      <c r="S12" s="35">
        <f t="shared" si="2"/>
        <v>61</v>
      </c>
      <c r="T12" s="34">
        <f t="shared" si="3"/>
        <v>244</v>
      </c>
      <c r="U12" s="36">
        <f t="shared" si="4"/>
        <v>0.8</v>
      </c>
      <c r="V12" s="16"/>
      <c r="W12" s="16"/>
      <c r="X12" s="16"/>
      <c r="Y12" s="16"/>
      <c r="Z12" s="16"/>
    </row>
    <row r="13" spans="1:26" ht="14.25" customHeight="1" x14ac:dyDescent="0.35">
      <c r="A13" s="16"/>
      <c r="B13" s="27" t="s">
        <v>84</v>
      </c>
      <c r="C13" s="28">
        <v>40</v>
      </c>
      <c r="D13" s="29">
        <v>14.35</v>
      </c>
      <c r="E13" s="30">
        <v>10</v>
      </c>
      <c r="F13" s="31">
        <v>5</v>
      </c>
      <c r="G13" s="31">
        <v>10</v>
      </c>
      <c r="H13" s="31">
        <v>6</v>
      </c>
      <c r="I13" s="31">
        <v>7</v>
      </c>
      <c r="J13" s="31">
        <v>7</v>
      </c>
      <c r="K13" s="31">
        <v>8</v>
      </c>
      <c r="L13" s="31">
        <v>8</v>
      </c>
      <c r="M13" s="31">
        <v>8</v>
      </c>
      <c r="N13" s="31">
        <v>8</v>
      </c>
      <c r="O13" s="31">
        <v>8</v>
      </c>
      <c r="P13" s="31">
        <v>10</v>
      </c>
      <c r="Q13" s="33">
        <f t="shared" si="0"/>
        <v>95</v>
      </c>
      <c r="R13" s="34">
        <f t="shared" si="1"/>
        <v>3800</v>
      </c>
      <c r="S13" s="35">
        <f t="shared" si="2"/>
        <v>1363.25</v>
      </c>
      <c r="T13" s="34">
        <f t="shared" si="3"/>
        <v>2436.75</v>
      </c>
      <c r="U13" s="36">
        <f t="shared" si="4"/>
        <v>0.64124999999999999</v>
      </c>
      <c r="V13" s="16"/>
      <c r="W13" s="16"/>
      <c r="X13" s="16"/>
      <c r="Y13" s="16"/>
      <c r="Z13" s="16"/>
    </row>
    <row r="14" spans="1:26" ht="14.25" customHeight="1" x14ac:dyDescent="0.35">
      <c r="A14" s="16"/>
      <c r="B14" s="27" t="s">
        <v>85</v>
      </c>
      <c r="C14" s="28">
        <v>6.5</v>
      </c>
      <c r="D14" s="29">
        <v>1.73</v>
      </c>
      <c r="E14" s="30">
        <v>10</v>
      </c>
      <c r="F14" s="31">
        <v>5</v>
      </c>
      <c r="G14" s="31">
        <v>10</v>
      </c>
      <c r="H14" s="31">
        <v>6</v>
      </c>
      <c r="I14" s="31">
        <v>7</v>
      </c>
      <c r="J14" s="31">
        <v>7</v>
      </c>
      <c r="K14" s="31">
        <v>8</v>
      </c>
      <c r="L14" s="31">
        <v>8</v>
      </c>
      <c r="M14" s="31">
        <v>9</v>
      </c>
      <c r="N14" s="31">
        <v>9</v>
      </c>
      <c r="O14" s="31">
        <v>10</v>
      </c>
      <c r="P14" s="31">
        <v>10</v>
      </c>
      <c r="Q14" s="33">
        <f t="shared" si="0"/>
        <v>99</v>
      </c>
      <c r="R14" s="34">
        <f t="shared" si="1"/>
        <v>643.5</v>
      </c>
      <c r="S14" s="35">
        <f t="shared" si="2"/>
        <v>171.27</v>
      </c>
      <c r="T14" s="34">
        <f t="shared" si="3"/>
        <v>472.23</v>
      </c>
      <c r="U14" s="36">
        <f t="shared" si="4"/>
        <v>0.73384615384615393</v>
      </c>
      <c r="V14" s="16"/>
      <c r="W14" s="16"/>
      <c r="X14" s="16"/>
      <c r="Y14" s="16"/>
      <c r="Z14" s="16"/>
    </row>
    <row r="15" spans="1:26" ht="14.25" customHeight="1" x14ac:dyDescent="0.35">
      <c r="A15" s="16"/>
      <c r="B15" s="27" t="s">
        <v>86</v>
      </c>
      <c r="C15" s="28">
        <v>50</v>
      </c>
      <c r="D15" s="29">
        <v>14.6</v>
      </c>
      <c r="E15" s="30">
        <v>5</v>
      </c>
      <c r="F15" s="31">
        <v>2</v>
      </c>
      <c r="G15" s="31">
        <v>2</v>
      </c>
      <c r="H15" s="31">
        <v>2</v>
      </c>
      <c r="I15" s="31">
        <v>3</v>
      </c>
      <c r="J15" s="31">
        <v>3</v>
      </c>
      <c r="K15" s="31">
        <v>3</v>
      </c>
      <c r="L15" s="31">
        <v>3</v>
      </c>
      <c r="M15" s="31">
        <v>4</v>
      </c>
      <c r="N15" s="31">
        <v>4</v>
      </c>
      <c r="O15" s="31">
        <v>5</v>
      </c>
      <c r="P15" s="31">
        <v>5</v>
      </c>
      <c r="Q15" s="33">
        <f t="shared" si="0"/>
        <v>41</v>
      </c>
      <c r="R15" s="34">
        <f t="shared" si="1"/>
        <v>2050</v>
      </c>
      <c r="S15" s="35">
        <f t="shared" si="2"/>
        <v>598.6</v>
      </c>
      <c r="T15" s="34">
        <f t="shared" si="3"/>
        <v>1451.4</v>
      </c>
      <c r="U15" s="36">
        <f t="shared" si="4"/>
        <v>0.70800000000000007</v>
      </c>
      <c r="V15" s="16"/>
      <c r="W15" s="16"/>
      <c r="X15" s="16"/>
      <c r="Y15" s="16"/>
      <c r="Z15" s="16"/>
    </row>
    <row r="16" spans="1:26" ht="14.25" customHeight="1" x14ac:dyDescent="0.35">
      <c r="A16" s="16"/>
      <c r="B16" s="27" t="s">
        <v>87</v>
      </c>
      <c r="C16" s="28">
        <v>3</v>
      </c>
      <c r="D16" s="29">
        <v>0.71</v>
      </c>
      <c r="E16" s="30">
        <v>20</v>
      </c>
      <c r="F16" s="31">
        <v>5</v>
      </c>
      <c r="G16" s="31">
        <v>5</v>
      </c>
      <c r="H16" s="31">
        <v>6</v>
      </c>
      <c r="I16" s="31">
        <v>5</v>
      </c>
      <c r="J16" s="31">
        <v>6</v>
      </c>
      <c r="K16" s="31">
        <v>6</v>
      </c>
      <c r="L16" s="31">
        <v>8</v>
      </c>
      <c r="M16" s="31">
        <v>9</v>
      </c>
      <c r="N16" s="31">
        <v>9</v>
      </c>
      <c r="O16" s="31">
        <v>10</v>
      </c>
      <c r="P16" s="31">
        <v>10</v>
      </c>
      <c r="Q16" s="33">
        <f t="shared" si="0"/>
        <v>99</v>
      </c>
      <c r="R16" s="34">
        <f t="shared" si="1"/>
        <v>297</v>
      </c>
      <c r="S16" s="35">
        <f t="shared" si="2"/>
        <v>70.289999999999992</v>
      </c>
      <c r="T16" s="34">
        <f t="shared" si="3"/>
        <v>226.71</v>
      </c>
      <c r="U16" s="36">
        <f t="shared" si="4"/>
        <v>0.76333333333333331</v>
      </c>
      <c r="V16" s="16"/>
      <c r="W16" s="16"/>
      <c r="X16" s="16"/>
      <c r="Y16" s="16"/>
      <c r="Z16" s="16"/>
    </row>
    <row r="17" spans="1:26" ht="14.25" customHeight="1" x14ac:dyDescent="0.35">
      <c r="A17" s="16"/>
      <c r="B17" s="27" t="s">
        <v>88</v>
      </c>
      <c r="C17" s="28">
        <v>50</v>
      </c>
      <c r="D17" s="29">
        <v>30</v>
      </c>
      <c r="E17" s="30">
        <v>9</v>
      </c>
      <c r="F17" s="31">
        <v>5</v>
      </c>
      <c r="G17" s="31">
        <v>5</v>
      </c>
      <c r="H17" s="32">
        <v>9</v>
      </c>
      <c r="I17" s="32">
        <v>9</v>
      </c>
      <c r="J17" s="32">
        <v>9</v>
      </c>
      <c r="K17" s="32">
        <v>9</v>
      </c>
      <c r="L17" s="32">
        <v>9</v>
      </c>
      <c r="M17" s="32">
        <v>9</v>
      </c>
      <c r="N17" s="32">
        <v>9</v>
      </c>
      <c r="O17" s="32">
        <v>6</v>
      </c>
      <c r="P17" s="31">
        <v>6</v>
      </c>
      <c r="Q17" s="33">
        <f t="shared" si="0"/>
        <v>94</v>
      </c>
      <c r="R17" s="34">
        <f t="shared" si="1"/>
        <v>4700</v>
      </c>
      <c r="S17" s="35">
        <f t="shared" si="2"/>
        <v>2820</v>
      </c>
      <c r="T17" s="34">
        <f t="shared" si="3"/>
        <v>1880</v>
      </c>
      <c r="U17" s="36">
        <f t="shared" si="4"/>
        <v>0.4</v>
      </c>
      <c r="V17" s="16"/>
      <c r="W17" s="16"/>
      <c r="X17" s="16"/>
      <c r="Y17" s="16"/>
      <c r="Z17" s="16"/>
    </row>
    <row r="18" spans="1:26" ht="14.25" customHeight="1" x14ac:dyDescent="0.35">
      <c r="A18" s="16"/>
      <c r="B18" s="27"/>
      <c r="C18" s="28"/>
      <c r="D18" s="29"/>
      <c r="E18" s="30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3">
        <f t="shared" si="0"/>
        <v>0</v>
      </c>
      <c r="R18" s="34">
        <f t="shared" si="1"/>
        <v>0</v>
      </c>
      <c r="S18" s="35">
        <f t="shared" si="2"/>
        <v>0</v>
      </c>
      <c r="T18" s="34">
        <f t="shared" si="3"/>
        <v>0</v>
      </c>
      <c r="U18" s="36" t="str">
        <f t="shared" si="4"/>
        <v/>
      </c>
      <c r="V18" s="16"/>
      <c r="W18" s="16"/>
      <c r="X18" s="16"/>
      <c r="Y18" s="16"/>
      <c r="Z18" s="16"/>
    </row>
    <row r="19" spans="1:26" ht="14.25" customHeight="1" x14ac:dyDescent="0.35">
      <c r="A19" s="16"/>
      <c r="B19" s="27"/>
      <c r="C19" s="28"/>
      <c r="D19" s="29"/>
      <c r="E19" s="30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3">
        <f t="shared" si="0"/>
        <v>0</v>
      </c>
      <c r="R19" s="34">
        <f t="shared" si="1"/>
        <v>0</v>
      </c>
      <c r="S19" s="35">
        <f t="shared" si="2"/>
        <v>0</v>
      </c>
      <c r="T19" s="34">
        <f t="shared" si="3"/>
        <v>0</v>
      </c>
      <c r="U19" s="36" t="str">
        <f t="shared" si="4"/>
        <v/>
      </c>
      <c r="V19" s="16"/>
      <c r="W19" s="16"/>
      <c r="X19" s="16"/>
      <c r="Y19" s="16"/>
      <c r="Z19" s="16"/>
    </row>
    <row r="20" spans="1:26" ht="14.25" customHeight="1" x14ac:dyDescent="0.35">
      <c r="A20" s="16"/>
      <c r="B20" s="37"/>
      <c r="C20" s="38"/>
      <c r="D20" s="39"/>
      <c r="E20" s="40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>
        <f t="shared" si="0"/>
        <v>0</v>
      </c>
      <c r="R20" s="43">
        <f t="shared" si="1"/>
        <v>0</v>
      </c>
      <c r="S20" s="44">
        <f t="shared" si="2"/>
        <v>0</v>
      </c>
      <c r="T20" s="43">
        <f t="shared" si="3"/>
        <v>0</v>
      </c>
      <c r="U20" s="45" t="str">
        <f t="shared" si="4"/>
        <v/>
      </c>
      <c r="V20" s="16"/>
      <c r="W20" s="16"/>
      <c r="X20" s="16"/>
      <c r="Y20" s="16"/>
      <c r="Z20" s="16"/>
    </row>
    <row r="21" spans="1:26" ht="14.25" customHeight="1" x14ac:dyDescent="0.35">
      <c r="A21" s="16"/>
      <c r="B21" s="128"/>
      <c r="C21" s="122"/>
      <c r="D21" s="123"/>
      <c r="E21" s="46">
        <f t="shared" ref="E21:T21" si="5">SUM(E11:E20)</f>
        <v>69</v>
      </c>
      <c r="F21" s="46">
        <f t="shared" si="5"/>
        <v>31</v>
      </c>
      <c r="G21" s="46">
        <f t="shared" si="5"/>
        <v>46</v>
      </c>
      <c r="H21" s="46">
        <f t="shared" si="5"/>
        <v>40</v>
      </c>
      <c r="I21" s="46">
        <f t="shared" si="5"/>
        <v>43</v>
      </c>
      <c r="J21" s="46">
        <f t="shared" si="5"/>
        <v>47</v>
      </c>
      <c r="K21" s="46">
        <f t="shared" si="5"/>
        <v>49</v>
      </c>
      <c r="L21" s="46">
        <f t="shared" si="5"/>
        <v>51</v>
      </c>
      <c r="M21" s="46">
        <f t="shared" si="5"/>
        <v>55</v>
      </c>
      <c r="N21" s="46">
        <f t="shared" si="5"/>
        <v>55</v>
      </c>
      <c r="O21" s="46">
        <f t="shared" si="5"/>
        <v>55</v>
      </c>
      <c r="P21" s="47">
        <f t="shared" si="5"/>
        <v>57</v>
      </c>
      <c r="Q21" s="48">
        <f t="shared" si="5"/>
        <v>598</v>
      </c>
      <c r="R21" s="49">
        <f t="shared" si="5"/>
        <v>13975.5</v>
      </c>
      <c r="S21" s="49">
        <f t="shared" si="5"/>
        <v>6174.41</v>
      </c>
      <c r="T21" s="49">
        <f t="shared" si="5"/>
        <v>7801.0899999999992</v>
      </c>
      <c r="U21" s="50">
        <f t="shared" si="4"/>
        <v>0.55819756001574183</v>
      </c>
      <c r="V21" s="16"/>
      <c r="W21" s="16"/>
      <c r="X21" s="16"/>
      <c r="Y21" s="16"/>
      <c r="Z21" s="16"/>
    </row>
    <row r="22" spans="1:26" ht="14.25" customHeight="1" x14ac:dyDescent="0.35">
      <c r="A22" s="16"/>
      <c r="B22" s="51" t="s">
        <v>89</v>
      </c>
      <c r="C22" s="52"/>
      <c r="D22" s="53"/>
      <c r="E22" s="54">
        <f t="shared" ref="E22:P22" si="6">SUM(E11*$C11)+(E16*$C16)+(E17*$C17)+(E18*$C18)+(E19*$C19)+(E20*$C20)+(E12*$C12)+(E13*$C13)+(E14*$C14)+(E15*$C15)</f>
        <v>1450</v>
      </c>
      <c r="F22" s="54">
        <f t="shared" si="6"/>
        <v>717.5</v>
      </c>
      <c r="G22" s="54">
        <f t="shared" si="6"/>
        <v>1050</v>
      </c>
      <c r="H22" s="54">
        <f t="shared" si="6"/>
        <v>1007</v>
      </c>
      <c r="I22" s="54">
        <f t="shared" si="6"/>
        <v>1105.5</v>
      </c>
      <c r="J22" s="54">
        <f t="shared" si="6"/>
        <v>1168.5</v>
      </c>
      <c r="K22" s="54">
        <f t="shared" si="6"/>
        <v>1215</v>
      </c>
      <c r="L22" s="54">
        <f t="shared" si="6"/>
        <v>1221</v>
      </c>
      <c r="M22" s="54">
        <f t="shared" si="6"/>
        <v>1285.5</v>
      </c>
      <c r="N22" s="54">
        <f t="shared" si="6"/>
        <v>1285.5</v>
      </c>
      <c r="O22" s="54">
        <f t="shared" si="6"/>
        <v>1195</v>
      </c>
      <c r="P22" s="54">
        <f t="shared" si="6"/>
        <v>1275</v>
      </c>
      <c r="Q22" s="55">
        <f t="shared" ref="Q22:Q23" si="7">SUM(E22:P22)</f>
        <v>13975.5</v>
      </c>
      <c r="R22" s="1"/>
      <c r="S22" s="1"/>
      <c r="T22" s="1"/>
      <c r="U22" s="56"/>
      <c r="V22" s="16"/>
      <c r="W22" s="16"/>
      <c r="X22" s="16"/>
      <c r="Y22" s="16"/>
      <c r="Z22" s="16"/>
    </row>
    <row r="23" spans="1:26" ht="14.25" customHeight="1" x14ac:dyDescent="0.35">
      <c r="A23" s="16"/>
      <c r="B23" s="51" t="s">
        <v>90</v>
      </c>
      <c r="C23" s="52"/>
      <c r="D23" s="53"/>
      <c r="E23" s="57">
        <f t="shared" ref="E23:P23" si="8">SUM(E12*$D12)+(E17*$D17)+(E18*$D18)+(E19*$D19)+(E20*$D20)+(E11*$D11)+(E13*$D13)+(E14*$D14)+(E15*$D15)+(E16*$D16)</f>
        <v>623</v>
      </c>
      <c r="F23" s="58">
        <f t="shared" si="8"/>
        <v>317.14999999999998</v>
      </c>
      <c r="G23" s="58">
        <f t="shared" si="8"/>
        <v>447.55</v>
      </c>
      <c r="H23" s="58">
        <f t="shared" si="8"/>
        <v>473.94</v>
      </c>
      <c r="I23" s="58">
        <f t="shared" si="8"/>
        <v>504.91</v>
      </c>
      <c r="J23" s="58">
        <f t="shared" si="8"/>
        <v>535.62</v>
      </c>
      <c r="K23" s="58">
        <f t="shared" si="8"/>
        <v>551.69999999999993</v>
      </c>
      <c r="L23" s="58">
        <f t="shared" si="8"/>
        <v>553.11999999999989</v>
      </c>
      <c r="M23" s="58">
        <f t="shared" si="8"/>
        <v>571.16</v>
      </c>
      <c r="N23" s="58">
        <f t="shared" si="8"/>
        <v>571.16</v>
      </c>
      <c r="O23" s="58">
        <f t="shared" si="8"/>
        <v>498.20000000000005</v>
      </c>
      <c r="P23" s="58">
        <f t="shared" si="8"/>
        <v>526.9</v>
      </c>
      <c r="Q23" s="57">
        <f t="shared" si="7"/>
        <v>6174.4099999999989</v>
      </c>
      <c r="R23" s="1"/>
      <c r="S23" s="1"/>
      <c r="T23" s="1"/>
      <c r="U23" s="56"/>
      <c r="V23" s="16"/>
      <c r="W23" s="16"/>
      <c r="X23" s="16"/>
      <c r="Y23" s="16"/>
      <c r="Z23" s="16"/>
    </row>
    <row r="24" spans="1:26" ht="14.25" customHeight="1" x14ac:dyDescent="0.35">
      <c r="A24" s="16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56"/>
      <c r="V24" s="16"/>
      <c r="W24" s="16"/>
      <c r="X24" s="16"/>
      <c r="Y24" s="16"/>
      <c r="Z24" s="16"/>
    </row>
    <row r="25" spans="1:26" ht="14.25" customHeight="1" x14ac:dyDescent="0.35">
      <c r="A25" s="16"/>
      <c r="B25" s="2" t="s">
        <v>91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56"/>
      <c r="V25" s="16"/>
      <c r="W25" s="16"/>
      <c r="X25" s="16"/>
      <c r="Y25" s="16"/>
      <c r="Z25" s="16"/>
    </row>
    <row r="26" spans="1:26" ht="14.25" customHeight="1" x14ac:dyDescent="0.35">
      <c r="A26" s="16"/>
      <c r="B26" s="1" t="s">
        <v>92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56"/>
      <c r="V26" s="16"/>
      <c r="W26" s="16"/>
      <c r="X26" s="16"/>
      <c r="Y26" s="16"/>
      <c r="Z26" s="16"/>
    </row>
    <row r="27" spans="1:26" ht="14.25" customHeight="1" x14ac:dyDescent="0.35">
      <c r="A27" s="16"/>
      <c r="B27" s="1"/>
      <c r="C27" s="1"/>
      <c r="D27" s="17" t="s">
        <v>49</v>
      </c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1"/>
      <c r="R27" s="1"/>
      <c r="S27" s="1"/>
      <c r="T27" s="1"/>
      <c r="U27" s="1"/>
      <c r="V27" s="16"/>
      <c r="W27" s="16"/>
      <c r="X27" s="16"/>
      <c r="Y27" s="16"/>
      <c r="Z27" s="16"/>
    </row>
    <row r="28" spans="1:26" ht="14.25" customHeight="1" x14ac:dyDescent="0.3">
      <c r="A28" s="16"/>
      <c r="B28" s="19" t="s">
        <v>62</v>
      </c>
      <c r="C28" s="20" t="s">
        <v>63</v>
      </c>
      <c r="D28" s="21" t="s">
        <v>64</v>
      </c>
      <c r="E28" s="22" t="s">
        <v>93</v>
      </c>
      <c r="F28" s="23" t="s">
        <v>94</v>
      </c>
      <c r="G28" s="22" t="s">
        <v>95</v>
      </c>
      <c r="H28" s="23" t="s">
        <v>96</v>
      </c>
      <c r="I28" s="22" t="s">
        <v>97</v>
      </c>
      <c r="J28" s="23" t="s">
        <v>98</v>
      </c>
      <c r="K28" s="22" t="s">
        <v>99</v>
      </c>
      <c r="L28" s="23" t="s">
        <v>100</v>
      </c>
      <c r="M28" s="22" t="s">
        <v>101</v>
      </c>
      <c r="N28" s="23" t="s">
        <v>102</v>
      </c>
      <c r="O28" s="22" t="s">
        <v>103</v>
      </c>
      <c r="P28" s="23" t="s">
        <v>104</v>
      </c>
      <c r="Q28" s="24" t="s">
        <v>77</v>
      </c>
      <c r="R28" s="25" t="s">
        <v>78</v>
      </c>
      <c r="S28" s="24" t="s">
        <v>79</v>
      </c>
      <c r="T28" s="25" t="s">
        <v>80</v>
      </c>
      <c r="U28" s="26" t="s">
        <v>81</v>
      </c>
      <c r="V28" s="16"/>
      <c r="W28" s="16"/>
      <c r="X28" s="16"/>
      <c r="Y28" s="16"/>
      <c r="Z28" s="16"/>
    </row>
    <row r="29" spans="1:26" ht="14.25" customHeight="1" x14ac:dyDescent="0.35">
      <c r="A29" s="16"/>
      <c r="B29" s="27"/>
      <c r="C29" s="28"/>
      <c r="D29" s="29"/>
      <c r="E29" s="30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3">
        <f t="shared" ref="Q29:Q38" si="9">SUM(E29:P29)</f>
        <v>0</v>
      </c>
      <c r="R29" s="34">
        <f t="shared" ref="R29:R38" si="10">SUM(Q29*C29)</f>
        <v>0</v>
      </c>
      <c r="S29" s="35">
        <f t="shared" ref="S29:S38" si="11">SUM(Q29*D29)</f>
        <v>0</v>
      </c>
      <c r="T29" s="34">
        <f t="shared" ref="T29:T38" si="12">SUM(R29-S29)</f>
        <v>0</v>
      </c>
      <c r="U29" s="36" t="str">
        <f t="shared" ref="U29:U39" si="13">IF(T29=0,"",SUM(T29/R29))</f>
        <v/>
      </c>
      <c r="V29" s="16"/>
      <c r="W29" s="16"/>
      <c r="X29" s="16"/>
      <c r="Y29" s="16"/>
      <c r="Z29" s="16"/>
    </row>
    <row r="30" spans="1:26" ht="14.25" customHeight="1" x14ac:dyDescent="0.35">
      <c r="A30" s="16"/>
      <c r="B30" s="27"/>
      <c r="C30" s="28"/>
      <c r="D30" s="29"/>
      <c r="E30" s="30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3">
        <f t="shared" si="9"/>
        <v>0</v>
      </c>
      <c r="R30" s="34">
        <f t="shared" si="10"/>
        <v>0</v>
      </c>
      <c r="S30" s="35">
        <f t="shared" si="11"/>
        <v>0</v>
      </c>
      <c r="T30" s="34">
        <f t="shared" si="12"/>
        <v>0</v>
      </c>
      <c r="U30" s="36" t="str">
        <f t="shared" si="13"/>
        <v/>
      </c>
      <c r="V30" s="16"/>
      <c r="W30" s="16"/>
      <c r="X30" s="16"/>
      <c r="Y30" s="16"/>
      <c r="Z30" s="16"/>
    </row>
    <row r="31" spans="1:26" ht="14.25" customHeight="1" x14ac:dyDescent="0.35">
      <c r="A31" s="16"/>
      <c r="B31" s="27"/>
      <c r="C31" s="28"/>
      <c r="D31" s="29"/>
      <c r="E31" s="30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3">
        <f t="shared" si="9"/>
        <v>0</v>
      </c>
      <c r="R31" s="34">
        <f t="shared" si="10"/>
        <v>0</v>
      </c>
      <c r="S31" s="35">
        <f t="shared" si="11"/>
        <v>0</v>
      </c>
      <c r="T31" s="34">
        <f t="shared" si="12"/>
        <v>0</v>
      </c>
      <c r="U31" s="36" t="str">
        <f t="shared" si="13"/>
        <v/>
      </c>
      <c r="V31" s="16"/>
      <c r="W31" s="16"/>
      <c r="X31" s="16"/>
      <c r="Y31" s="16"/>
      <c r="Z31" s="16"/>
    </row>
    <row r="32" spans="1:26" ht="14.25" customHeight="1" x14ac:dyDescent="0.35">
      <c r="A32" s="16"/>
      <c r="B32" s="27"/>
      <c r="C32" s="28"/>
      <c r="D32" s="29"/>
      <c r="E32" s="30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3">
        <f t="shared" si="9"/>
        <v>0</v>
      </c>
      <c r="R32" s="34">
        <f t="shared" si="10"/>
        <v>0</v>
      </c>
      <c r="S32" s="35">
        <f t="shared" si="11"/>
        <v>0</v>
      </c>
      <c r="T32" s="34">
        <f t="shared" si="12"/>
        <v>0</v>
      </c>
      <c r="U32" s="36" t="str">
        <f t="shared" si="13"/>
        <v/>
      </c>
      <c r="V32" s="16"/>
      <c r="W32" s="16"/>
      <c r="X32" s="16"/>
      <c r="Y32" s="16"/>
      <c r="Z32" s="16"/>
    </row>
    <row r="33" spans="1:26" ht="14.25" customHeight="1" x14ac:dyDescent="0.35">
      <c r="A33" s="16"/>
      <c r="B33" s="27"/>
      <c r="C33" s="28"/>
      <c r="D33" s="29"/>
      <c r="E33" s="30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3">
        <f t="shared" si="9"/>
        <v>0</v>
      </c>
      <c r="R33" s="34">
        <f t="shared" si="10"/>
        <v>0</v>
      </c>
      <c r="S33" s="35">
        <f t="shared" si="11"/>
        <v>0</v>
      </c>
      <c r="T33" s="34">
        <f t="shared" si="12"/>
        <v>0</v>
      </c>
      <c r="U33" s="36" t="str">
        <f t="shared" si="13"/>
        <v/>
      </c>
      <c r="V33" s="16"/>
      <c r="W33" s="16"/>
      <c r="X33" s="16"/>
      <c r="Y33" s="16"/>
      <c r="Z33" s="16"/>
    </row>
    <row r="34" spans="1:26" ht="14.25" customHeight="1" x14ac:dyDescent="0.35">
      <c r="A34" s="16"/>
      <c r="B34" s="27"/>
      <c r="C34" s="28"/>
      <c r="D34" s="29"/>
      <c r="E34" s="30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>
        <f t="shared" si="9"/>
        <v>0</v>
      </c>
      <c r="R34" s="34">
        <f t="shared" si="10"/>
        <v>0</v>
      </c>
      <c r="S34" s="35">
        <f t="shared" si="11"/>
        <v>0</v>
      </c>
      <c r="T34" s="34">
        <f t="shared" si="12"/>
        <v>0</v>
      </c>
      <c r="U34" s="36" t="str">
        <f t="shared" si="13"/>
        <v/>
      </c>
      <c r="V34" s="16"/>
      <c r="W34" s="16"/>
      <c r="X34" s="16"/>
      <c r="Y34" s="16"/>
      <c r="Z34" s="16"/>
    </row>
    <row r="35" spans="1:26" ht="14.25" customHeight="1" x14ac:dyDescent="0.35">
      <c r="A35" s="16"/>
      <c r="B35" s="27"/>
      <c r="C35" s="28"/>
      <c r="D35" s="29"/>
      <c r="E35" s="30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3">
        <f t="shared" si="9"/>
        <v>0</v>
      </c>
      <c r="R35" s="34">
        <f t="shared" si="10"/>
        <v>0</v>
      </c>
      <c r="S35" s="35">
        <f t="shared" si="11"/>
        <v>0</v>
      </c>
      <c r="T35" s="34">
        <f t="shared" si="12"/>
        <v>0</v>
      </c>
      <c r="U35" s="36" t="str">
        <f t="shared" si="13"/>
        <v/>
      </c>
      <c r="V35" s="16"/>
      <c r="W35" s="16"/>
      <c r="X35" s="16"/>
      <c r="Y35" s="16"/>
      <c r="Z35" s="16"/>
    </row>
    <row r="36" spans="1:26" ht="14.25" customHeight="1" x14ac:dyDescent="0.35">
      <c r="A36" s="16"/>
      <c r="B36" s="27"/>
      <c r="C36" s="28"/>
      <c r="D36" s="29"/>
      <c r="E36" s="30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>
        <f t="shared" si="9"/>
        <v>0</v>
      </c>
      <c r="R36" s="34">
        <f t="shared" si="10"/>
        <v>0</v>
      </c>
      <c r="S36" s="35">
        <f t="shared" si="11"/>
        <v>0</v>
      </c>
      <c r="T36" s="34">
        <f t="shared" si="12"/>
        <v>0</v>
      </c>
      <c r="U36" s="36" t="str">
        <f t="shared" si="13"/>
        <v/>
      </c>
      <c r="V36" s="16"/>
      <c r="W36" s="16"/>
      <c r="X36" s="16"/>
      <c r="Y36" s="16"/>
      <c r="Z36" s="16"/>
    </row>
    <row r="37" spans="1:26" ht="14.25" customHeight="1" x14ac:dyDescent="0.35">
      <c r="A37" s="16"/>
      <c r="B37" s="27"/>
      <c r="C37" s="28"/>
      <c r="D37" s="29"/>
      <c r="E37" s="30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3">
        <f t="shared" si="9"/>
        <v>0</v>
      </c>
      <c r="R37" s="34">
        <f t="shared" si="10"/>
        <v>0</v>
      </c>
      <c r="S37" s="35">
        <f t="shared" si="11"/>
        <v>0</v>
      </c>
      <c r="T37" s="34">
        <f t="shared" si="12"/>
        <v>0</v>
      </c>
      <c r="U37" s="36" t="str">
        <f t="shared" si="13"/>
        <v/>
      </c>
      <c r="V37" s="16"/>
      <c r="W37" s="16"/>
      <c r="X37" s="16"/>
      <c r="Y37" s="16"/>
      <c r="Z37" s="16"/>
    </row>
    <row r="38" spans="1:26" ht="14.25" customHeight="1" x14ac:dyDescent="0.35">
      <c r="A38" s="16"/>
      <c r="B38" s="60"/>
      <c r="C38" s="38"/>
      <c r="D38" s="39"/>
      <c r="E38" s="4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61"/>
      <c r="Q38" s="42">
        <f t="shared" si="9"/>
        <v>0</v>
      </c>
      <c r="R38" s="43">
        <f t="shared" si="10"/>
        <v>0</v>
      </c>
      <c r="S38" s="44">
        <f t="shared" si="11"/>
        <v>0</v>
      </c>
      <c r="T38" s="43">
        <f t="shared" si="12"/>
        <v>0</v>
      </c>
      <c r="U38" s="45" t="str">
        <f t="shared" si="13"/>
        <v/>
      </c>
      <c r="V38" s="16"/>
      <c r="W38" s="16"/>
      <c r="X38" s="16"/>
      <c r="Y38" s="16"/>
      <c r="Z38" s="16"/>
    </row>
    <row r="39" spans="1:26" ht="14.25" customHeight="1" x14ac:dyDescent="0.35">
      <c r="A39" s="16"/>
      <c r="B39" s="124"/>
      <c r="C39" s="125"/>
      <c r="D39" s="126"/>
      <c r="E39" s="62">
        <f t="shared" ref="E39:T39" si="14">SUM(E29:E38)</f>
        <v>0</v>
      </c>
      <c r="F39" s="62">
        <f t="shared" si="14"/>
        <v>0</v>
      </c>
      <c r="G39" s="62">
        <f t="shared" si="14"/>
        <v>0</v>
      </c>
      <c r="H39" s="62">
        <f t="shared" si="14"/>
        <v>0</v>
      </c>
      <c r="I39" s="62">
        <f t="shared" si="14"/>
        <v>0</v>
      </c>
      <c r="J39" s="62">
        <f t="shared" si="14"/>
        <v>0</v>
      </c>
      <c r="K39" s="62">
        <f t="shared" si="14"/>
        <v>0</v>
      </c>
      <c r="L39" s="62">
        <f t="shared" si="14"/>
        <v>0</v>
      </c>
      <c r="M39" s="62">
        <f t="shared" si="14"/>
        <v>0</v>
      </c>
      <c r="N39" s="62">
        <f t="shared" si="14"/>
        <v>0</v>
      </c>
      <c r="O39" s="62">
        <f t="shared" si="14"/>
        <v>0</v>
      </c>
      <c r="P39" s="62">
        <f t="shared" si="14"/>
        <v>0</v>
      </c>
      <c r="Q39" s="62">
        <f t="shared" si="14"/>
        <v>0</v>
      </c>
      <c r="R39" s="63">
        <f t="shared" si="14"/>
        <v>0</v>
      </c>
      <c r="S39" s="63">
        <f t="shared" si="14"/>
        <v>0</v>
      </c>
      <c r="T39" s="63">
        <f t="shared" si="14"/>
        <v>0</v>
      </c>
      <c r="U39" s="64" t="str">
        <f t="shared" si="13"/>
        <v/>
      </c>
      <c r="V39" s="16"/>
      <c r="W39" s="16"/>
      <c r="X39" s="16"/>
      <c r="Y39" s="16"/>
      <c r="Z39" s="16"/>
    </row>
    <row r="40" spans="1:26" ht="14.25" customHeight="1" x14ac:dyDescent="0.35">
      <c r="A40" s="16"/>
      <c r="B40" s="51" t="s">
        <v>89</v>
      </c>
      <c r="C40" s="52"/>
      <c r="D40" s="53"/>
      <c r="E40" s="54">
        <f t="shared" ref="E40:P40" si="15">SUM(E29*$C29)+(E34*$C34)+(E35*$C35)+(E36*$C36)+(E37*$C37)+(E38*$C38)+(E30*$C30)+(E31*$C31)+(E32*$C32)+(E33*$C33)</f>
        <v>0</v>
      </c>
      <c r="F40" s="54">
        <f t="shared" si="15"/>
        <v>0</v>
      </c>
      <c r="G40" s="54">
        <f t="shared" si="15"/>
        <v>0</v>
      </c>
      <c r="H40" s="54">
        <f t="shared" si="15"/>
        <v>0</v>
      </c>
      <c r="I40" s="54">
        <f t="shared" si="15"/>
        <v>0</v>
      </c>
      <c r="J40" s="54">
        <f t="shared" si="15"/>
        <v>0</v>
      </c>
      <c r="K40" s="54">
        <f t="shared" si="15"/>
        <v>0</v>
      </c>
      <c r="L40" s="54">
        <f t="shared" si="15"/>
        <v>0</v>
      </c>
      <c r="M40" s="54">
        <f t="shared" si="15"/>
        <v>0</v>
      </c>
      <c r="N40" s="54">
        <f t="shared" si="15"/>
        <v>0</v>
      </c>
      <c r="O40" s="54">
        <f t="shared" si="15"/>
        <v>0</v>
      </c>
      <c r="P40" s="54">
        <f t="shared" si="15"/>
        <v>0</v>
      </c>
      <c r="Q40" s="55">
        <f t="shared" ref="Q40:Q41" si="16">SUM(E40:P40)</f>
        <v>0</v>
      </c>
      <c r="R40" s="1"/>
      <c r="S40" s="1"/>
      <c r="T40" s="1"/>
      <c r="U40" s="1"/>
      <c r="V40" s="16"/>
      <c r="W40" s="16"/>
      <c r="X40" s="16"/>
      <c r="Y40" s="16"/>
      <c r="Z40" s="16"/>
    </row>
    <row r="41" spans="1:26" ht="14.25" customHeight="1" x14ac:dyDescent="0.35">
      <c r="A41" s="16"/>
      <c r="B41" s="51" t="s">
        <v>90</v>
      </c>
      <c r="C41" s="52"/>
      <c r="D41" s="53"/>
      <c r="E41" s="57">
        <f t="shared" ref="E41:P41" si="17">SUM(E30*$D30)+(E35*$D35)+(E36*$D36)+(E37*$D37)+(E38*$D38)+(E29*$D29)+(E31*$D31)+(E32*$D32)+(E33*$D33)+(E34*$D34)</f>
        <v>0</v>
      </c>
      <c r="F41" s="58">
        <f t="shared" si="17"/>
        <v>0</v>
      </c>
      <c r="G41" s="58">
        <f t="shared" si="17"/>
        <v>0</v>
      </c>
      <c r="H41" s="58">
        <f t="shared" si="17"/>
        <v>0</v>
      </c>
      <c r="I41" s="58">
        <f t="shared" si="17"/>
        <v>0</v>
      </c>
      <c r="J41" s="58">
        <f t="shared" si="17"/>
        <v>0</v>
      </c>
      <c r="K41" s="58">
        <f t="shared" si="17"/>
        <v>0</v>
      </c>
      <c r="L41" s="58">
        <f t="shared" si="17"/>
        <v>0</v>
      </c>
      <c r="M41" s="58">
        <f t="shared" si="17"/>
        <v>0</v>
      </c>
      <c r="N41" s="58">
        <f t="shared" si="17"/>
        <v>0</v>
      </c>
      <c r="O41" s="58">
        <f t="shared" si="17"/>
        <v>0</v>
      </c>
      <c r="P41" s="58">
        <f t="shared" si="17"/>
        <v>0</v>
      </c>
      <c r="Q41" s="57">
        <f t="shared" si="16"/>
        <v>0</v>
      </c>
      <c r="R41" s="1"/>
      <c r="S41" s="1"/>
      <c r="T41" s="1"/>
      <c r="U41" s="1"/>
      <c r="V41" s="16"/>
      <c r="W41" s="16"/>
      <c r="X41" s="16"/>
      <c r="Y41" s="16"/>
      <c r="Z41" s="16"/>
    </row>
    <row r="42" spans="1:26" ht="14.25" customHeight="1" x14ac:dyDescent="0.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14.25" customHeight="1" x14ac:dyDescent="0.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14.25" customHeight="1" x14ac:dyDescent="0.3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14.25" customHeight="1" x14ac:dyDescent="0.3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14.25" customHeight="1" x14ac:dyDescent="0.3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14.25" customHeight="1" x14ac:dyDescent="0.3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14.25" customHeight="1" x14ac:dyDescent="0.3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14.25" customHeight="1" x14ac:dyDescent="0.3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14.25" customHeight="1" x14ac:dyDescent="0.3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14.25" customHeight="1" x14ac:dyDescent="0.3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14.25" customHeight="1" x14ac:dyDescent="0.3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14.25" customHeight="1" x14ac:dyDescent="0.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14.25" customHeight="1" x14ac:dyDescent="0.3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14.25" customHeight="1" x14ac:dyDescent="0.3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14.25" customHeight="1" x14ac:dyDescent="0.3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14.25" customHeight="1" x14ac:dyDescent="0.3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14.25" customHeight="1" x14ac:dyDescent="0.3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14.25" customHeight="1" x14ac:dyDescent="0.3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14.25" customHeight="1" x14ac:dyDescent="0.3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14.25" customHeight="1" x14ac:dyDescent="0.3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14.25" customHeight="1" x14ac:dyDescent="0.3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14.25" customHeight="1" x14ac:dyDescent="0.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14.25" customHeight="1" x14ac:dyDescent="0.3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14.25" customHeight="1" x14ac:dyDescent="0.3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14.25" customHeight="1" x14ac:dyDescent="0.3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4.25" customHeight="1" x14ac:dyDescent="0.3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4.25" customHeight="1" x14ac:dyDescent="0.3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4.25" customHeight="1" x14ac:dyDescent="0.3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4.25" customHeight="1" x14ac:dyDescent="0.3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4.25" customHeight="1" x14ac:dyDescent="0.3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14.25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14.25" customHeight="1" x14ac:dyDescent="0.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14.25" customHeight="1" x14ac:dyDescent="0.3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14.25" customHeight="1" x14ac:dyDescent="0.3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14.25" customHeight="1" x14ac:dyDescent="0.3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14.25" customHeight="1" x14ac:dyDescent="0.3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14.25" customHeight="1" x14ac:dyDescent="0.3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14.25" customHeight="1" x14ac:dyDescent="0.3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14.25" customHeight="1" x14ac:dyDescent="0.3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14.25" customHeight="1" x14ac:dyDescent="0.3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14.25" customHeight="1" x14ac:dyDescent="0.3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14.25" customHeight="1" x14ac:dyDescent="0.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14.25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14.25" customHeight="1" x14ac:dyDescent="0.3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14.25" customHeight="1" x14ac:dyDescent="0.3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14.25" customHeight="1" x14ac:dyDescent="0.3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14.25" customHeight="1" x14ac:dyDescent="0.3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14.25" customHeight="1" x14ac:dyDescent="0.3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14.25" customHeight="1" x14ac:dyDescent="0.3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14.25" customHeight="1" x14ac:dyDescent="0.3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14.25" customHeight="1" x14ac:dyDescent="0.3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14.25" customHeight="1" x14ac:dyDescent="0.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14.25" customHeight="1" x14ac:dyDescent="0.3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14.25" customHeight="1" x14ac:dyDescent="0.3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14.25" customHeight="1" x14ac:dyDescent="0.3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14.25" customHeight="1" x14ac:dyDescent="0.3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14.25" customHeight="1" x14ac:dyDescent="0.3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14.25" customHeight="1" x14ac:dyDescent="0.3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14.25" customHeight="1" x14ac:dyDescent="0.3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14.25" customHeight="1" x14ac:dyDescent="0.3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14.25" customHeight="1" x14ac:dyDescent="0.3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14.25" customHeight="1" x14ac:dyDescent="0.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14.25" customHeight="1" x14ac:dyDescent="0.3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14.25" customHeight="1" x14ac:dyDescent="0.3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14.25" customHeight="1" x14ac:dyDescent="0.3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14.25" customHeight="1" x14ac:dyDescent="0.3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14.25" customHeight="1" x14ac:dyDescent="0.3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14.25" customHeight="1" x14ac:dyDescent="0.3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14.25" customHeight="1" x14ac:dyDescent="0.3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14.25" customHeight="1" x14ac:dyDescent="0.3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14.25" customHeight="1" x14ac:dyDescent="0.3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14.25" customHeight="1" x14ac:dyDescent="0.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14.25" customHeight="1" x14ac:dyDescent="0.3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14.25" customHeight="1" x14ac:dyDescent="0.3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14.25" customHeight="1" x14ac:dyDescent="0.3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14.25" customHeight="1" x14ac:dyDescent="0.3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14.25" customHeight="1" x14ac:dyDescent="0.3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14.25" customHeight="1" x14ac:dyDescent="0.3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14.25" customHeight="1" x14ac:dyDescent="0.3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14.25" customHeight="1" x14ac:dyDescent="0.3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14.25" customHeight="1" x14ac:dyDescent="0.3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14.25" customHeight="1" x14ac:dyDescent="0.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14.25" customHeight="1" x14ac:dyDescent="0.3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14.25" customHeight="1" x14ac:dyDescent="0.3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14.25" customHeight="1" x14ac:dyDescent="0.3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14.25" customHeight="1" x14ac:dyDescent="0.3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14.25" customHeight="1" x14ac:dyDescent="0.3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14.25" customHeight="1" x14ac:dyDescent="0.3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14.25" customHeight="1" x14ac:dyDescent="0.3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14.25" customHeight="1" x14ac:dyDescent="0.3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14.25" customHeight="1" x14ac:dyDescent="0.3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14.25" customHeight="1" x14ac:dyDescent="0.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14.25" customHeight="1" x14ac:dyDescent="0.3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14.25" customHeight="1" x14ac:dyDescent="0.3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14.25" customHeight="1" x14ac:dyDescent="0.3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14.25" customHeight="1" x14ac:dyDescent="0.3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14.25" customHeight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14.25" customHeight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14.25" customHeight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14.25" customHeight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14.25" customHeight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14.25" customHeight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14.25" customHeight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14.25" customHeight="1" x14ac:dyDescent="0.3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14.25" customHeight="1" x14ac:dyDescent="0.3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14.25" customHeight="1" x14ac:dyDescent="0.3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14.25" customHeight="1" x14ac:dyDescent="0.3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14.25" customHeight="1" x14ac:dyDescent="0.3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14.25" customHeight="1" x14ac:dyDescent="0.3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14.25" customHeight="1" x14ac:dyDescent="0.3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14.25" customHeight="1" x14ac:dyDescent="0.3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14.25" customHeight="1" x14ac:dyDescent="0.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14.25" customHeight="1" x14ac:dyDescent="0.3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14.25" customHeight="1" x14ac:dyDescent="0.3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14.25" customHeight="1" x14ac:dyDescent="0.3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14.25" customHeight="1" x14ac:dyDescent="0.3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14.25" customHeight="1" x14ac:dyDescent="0.3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14.25" customHeight="1" x14ac:dyDescent="0.3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14.25" customHeight="1" x14ac:dyDescent="0.3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14.25" customHeight="1" x14ac:dyDescent="0.3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14.25" customHeight="1" x14ac:dyDescent="0.3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14.25" customHeight="1" x14ac:dyDescent="0.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14.25" customHeight="1" x14ac:dyDescent="0.3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14.25" customHeight="1" x14ac:dyDescent="0.3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14.25" customHeight="1" x14ac:dyDescent="0.3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14.25" customHeight="1" x14ac:dyDescent="0.3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14.25" customHeight="1" x14ac:dyDescent="0.3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14.25" customHeight="1" x14ac:dyDescent="0.3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14.25" customHeight="1" x14ac:dyDescent="0.3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14.25" customHeight="1" x14ac:dyDescent="0.3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14.25" customHeight="1" x14ac:dyDescent="0.3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14.25" customHeight="1" x14ac:dyDescent="0.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14.25" customHeight="1" x14ac:dyDescent="0.3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14.25" customHeight="1" x14ac:dyDescent="0.3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14.25" customHeight="1" x14ac:dyDescent="0.3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14.25" customHeight="1" x14ac:dyDescent="0.3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14.25" customHeight="1" x14ac:dyDescent="0.3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14.25" customHeight="1" x14ac:dyDescent="0.3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14.25" customHeight="1" x14ac:dyDescent="0.3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14.25" customHeight="1" x14ac:dyDescent="0.3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14.25" customHeight="1" x14ac:dyDescent="0.3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14.25" customHeight="1" x14ac:dyDescent="0.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14.25" customHeight="1" x14ac:dyDescent="0.3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14.25" customHeight="1" x14ac:dyDescent="0.3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14.25" customHeight="1" x14ac:dyDescent="0.3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14.25" customHeight="1" x14ac:dyDescent="0.3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14.25" customHeight="1" x14ac:dyDescent="0.3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14.25" customHeight="1" x14ac:dyDescent="0.3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14.25" customHeight="1" x14ac:dyDescent="0.3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14.25" customHeight="1" x14ac:dyDescent="0.3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14.25" customHeight="1" x14ac:dyDescent="0.3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14.25" customHeight="1" x14ac:dyDescent="0.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14.25" customHeight="1" x14ac:dyDescent="0.3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14.25" customHeight="1" x14ac:dyDescent="0.3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14.25" customHeight="1" x14ac:dyDescent="0.3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14.25" customHeight="1" x14ac:dyDescent="0.3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14.25" customHeight="1" x14ac:dyDescent="0.3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14.25" customHeight="1" x14ac:dyDescent="0.3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14.25" customHeight="1" x14ac:dyDescent="0.3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14.25" customHeight="1" x14ac:dyDescent="0.3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14.25" customHeight="1" x14ac:dyDescent="0.3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14.25" customHeight="1" x14ac:dyDescent="0.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14.25" customHeight="1" x14ac:dyDescent="0.3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14.25" customHeight="1" x14ac:dyDescent="0.3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14.25" customHeight="1" x14ac:dyDescent="0.3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14.25" customHeight="1" x14ac:dyDescent="0.3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14.25" customHeight="1" x14ac:dyDescent="0.3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14.25" customHeight="1" x14ac:dyDescent="0.3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14.25" customHeight="1" x14ac:dyDescent="0.3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14.25" customHeight="1" x14ac:dyDescent="0.3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14.25" customHeight="1" x14ac:dyDescent="0.3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14.25" customHeight="1" x14ac:dyDescent="0.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14.25" customHeight="1" x14ac:dyDescent="0.3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14.25" customHeight="1" x14ac:dyDescent="0.3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14.25" customHeight="1" x14ac:dyDescent="0.3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14.25" customHeight="1" x14ac:dyDescent="0.3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14.25" customHeight="1" x14ac:dyDescent="0.3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14.25" customHeight="1" x14ac:dyDescent="0.3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14.25" customHeight="1" x14ac:dyDescent="0.3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14.25" customHeight="1" x14ac:dyDescent="0.3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14.25" customHeight="1" x14ac:dyDescent="0.3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14.25" customHeight="1" x14ac:dyDescent="0.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14.25" customHeight="1" x14ac:dyDescent="0.3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14.25" customHeight="1" x14ac:dyDescent="0.3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14.25" customHeight="1" x14ac:dyDescent="0.3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14.25" customHeight="1" x14ac:dyDescent="0.3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14.25" customHeight="1" x14ac:dyDescent="0.3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14.25" customHeight="1" x14ac:dyDescent="0.3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14.25" customHeight="1" x14ac:dyDescent="0.3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14.25" customHeight="1" x14ac:dyDescent="0.3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14.25" customHeight="1" x14ac:dyDescent="0.3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14.25" customHeight="1" x14ac:dyDescent="0.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14.25" customHeight="1" x14ac:dyDescent="0.3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14.25" customHeight="1" x14ac:dyDescent="0.3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14.25" customHeight="1" x14ac:dyDescent="0.3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14.25" customHeight="1" x14ac:dyDescent="0.3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14.25" customHeight="1" x14ac:dyDescent="0.3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14.25" customHeight="1" x14ac:dyDescent="0.3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14.25" customHeight="1" x14ac:dyDescent="0.3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14.25" customHeight="1" x14ac:dyDescent="0.3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14.25" customHeight="1" x14ac:dyDescent="0.3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14.25" customHeight="1" x14ac:dyDescent="0.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14.25" customHeight="1" x14ac:dyDescent="0.3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14.25" customHeight="1" x14ac:dyDescent="0.3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14.25" customHeight="1" x14ac:dyDescent="0.3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14.25" customHeight="1" x14ac:dyDescent="0.3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14.25" customHeight="1" x14ac:dyDescent="0.3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4.25" customHeight="1" x14ac:dyDescent="0.3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4.25" customHeight="1" x14ac:dyDescent="0.3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4.25" customHeight="1" x14ac:dyDescent="0.3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4.25" customHeight="1" x14ac:dyDescent="0.3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4.25" customHeight="1" x14ac:dyDescent="0.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4.25" customHeight="1" x14ac:dyDescent="0.3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4.25" customHeight="1" x14ac:dyDescent="0.3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4.25" customHeight="1" x14ac:dyDescent="0.3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4.25" customHeight="1" x14ac:dyDescent="0.3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4.25" customHeight="1" x14ac:dyDescent="0.3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4.25" customHeight="1" x14ac:dyDescent="0.3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4.25" customHeight="1" x14ac:dyDescent="0.3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4.25" customHeight="1" x14ac:dyDescent="0.3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4.25" customHeight="1" x14ac:dyDescent="0.3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4.25" customHeight="1" x14ac:dyDescent="0.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4.25" customHeight="1" x14ac:dyDescent="0.3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4.25" customHeight="1" x14ac:dyDescent="0.3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4.25" customHeight="1" x14ac:dyDescent="0.3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4.25" customHeight="1" x14ac:dyDescent="0.3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4.25" customHeight="1" x14ac:dyDescent="0.3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4.25" customHeight="1" x14ac:dyDescent="0.3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4.25" customHeight="1" x14ac:dyDescent="0.3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4.25" customHeight="1" x14ac:dyDescent="0.3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4.25" customHeight="1" x14ac:dyDescent="0.3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4.25" customHeight="1" x14ac:dyDescent="0.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4.25" customHeight="1" x14ac:dyDescent="0.3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4.25" customHeight="1" x14ac:dyDescent="0.3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4.25" customHeight="1" x14ac:dyDescent="0.3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4.25" customHeight="1" x14ac:dyDescent="0.3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4.25" customHeight="1" x14ac:dyDescent="0.3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4.25" customHeight="1" x14ac:dyDescent="0.3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4.25" customHeight="1" x14ac:dyDescent="0.3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4.25" customHeight="1" x14ac:dyDescent="0.3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4.25" customHeight="1" x14ac:dyDescent="0.3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4.25" customHeight="1" x14ac:dyDescent="0.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4.25" customHeight="1" x14ac:dyDescent="0.3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4.25" customHeight="1" x14ac:dyDescent="0.3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4.25" customHeight="1" x14ac:dyDescent="0.3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4.25" customHeight="1" x14ac:dyDescent="0.3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4.25" customHeight="1" x14ac:dyDescent="0.3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4.25" customHeight="1" x14ac:dyDescent="0.3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4.25" customHeight="1" x14ac:dyDescent="0.3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4.25" customHeight="1" x14ac:dyDescent="0.3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4.25" customHeight="1" x14ac:dyDescent="0.3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4.25" customHeight="1" x14ac:dyDescent="0.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4.25" customHeight="1" x14ac:dyDescent="0.3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4.25" customHeight="1" x14ac:dyDescent="0.3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4.25" customHeight="1" x14ac:dyDescent="0.3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4.25" customHeight="1" x14ac:dyDescent="0.3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4.25" customHeight="1" x14ac:dyDescent="0.3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4.25" customHeight="1" x14ac:dyDescent="0.3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4.25" customHeight="1" x14ac:dyDescent="0.3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4.25" customHeight="1" x14ac:dyDescent="0.3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4.25" customHeight="1" x14ac:dyDescent="0.3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4.25" customHeight="1" x14ac:dyDescent="0.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4.25" customHeight="1" x14ac:dyDescent="0.3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4.25" customHeight="1" x14ac:dyDescent="0.3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4.25" customHeight="1" x14ac:dyDescent="0.3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4.25" customHeight="1" x14ac:dyDescent="0.3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4.25" customHeight="1" x14ac:dyDescent="0.3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4.25" customHeight="1" x14ac:dyDescent="0.3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4.25" customHeight="1" x14ac:dyDescent="0.3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4.25" customHeight="1" x14ac:dyDescent="0.3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4.25" customHeight="1" x14ac:dyDescent="0.3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4.25" customHeight="1" x14ac:dyDescent="0.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4.25" customHeight="1" x14ac:dyDescent="0.3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4.25" customHeight="1" x14ac:dyDescent="0.3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4.25" customHeight="1" x14ac:dyDescent="0.3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4.25" customHeight="1" x14ac:dyDescent="0.3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4.25" customHeight="1" x14ac:dyDescent="0.3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4.25" customHeight="1" x14ac:dyDescent="0.3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4.25" customHeight="1" x14ac:dyDescent="0.3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4.25" customHeight="1" x14ac:dyDescent="0.3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4.25" customHeight="1" x14ac:dyDescent="0.3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4.25" customHeight="1" x14ac:dyDescent="0.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4.25" customHeight="1" x14ac:dyDescent="0.3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4.25" customHeight="1" x14ac:dyDescent="0.3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4.25" customHeight="1" x14ac:dyDescent="0.3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4.25" customHeight="1" x14ac:dyDescent="0.3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4.25" customHeight="1" x14ac:dyDescent="0.3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4.25" customHeight="1" x14ac:dyDescent="0.3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4.25" customHeight="1" x14ac:dyDescent="0.3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4.25" customHeight="1" x14ac:dyDescent="0.3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4.25" customHeight="1" x14ac:dyDescent="0.3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4.25" customHeight="1" x14ac:dyDescent="0.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4.25" customHeight="1" x14ac:dyDescent="0.3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4.25" customHeight="1" x14ac:dyDescent="0.3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4.25" customHeight="1" x14ac:dyDescent="0.3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4.25" customHeight="1" x14ac:dyDescent="0.3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4.25" customHeight="1" x14ac:dyDescent="0.3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4.25" customHeight="1" x14ac:dyDescent="0.3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4.25" customHeight="1" x14ac:dyDescent="0.3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4.25" customHeight="1" x14ac:dyDescent="0.3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4.25" customHeight="1" x14ac:dyDescent="0.3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4.25" customHeight="1" x14ac:dyDescent="0.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4.25" customHeight="1" x14ac:dyDescent="0.3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4.25" customHeight="1" x14ac:dyDescent="0.3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4.25" customHeight="1" x14ac:dyDescent="0.3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4.25" customHeight="1" x14ac:dyDescent="0.3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4.25" customHeight="1" x14ac:dyDescent="0.3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4.25" customHeight="1" x14ac:dyDescent="0.3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4.25" customHeight="1" x14ac:dyDescent="0.3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4.25" customHeight="1" x14ac:dyDescent="0.3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4.25" customHeight="1" x14ac:dyDescent="0.3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4.25" customHeight="1" x14ac:dyDescent="0.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4.25" customHeight="1" x14ac:dyDescent="0.3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4.25" customHeight="1" x14ac:dyDescent="0.3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4.25" customHeight="1" x14ac:dyDescent="0.3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4.25" customHeight="1" x14ac:dyDescent="0.3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4.25" customHeight="1" x14ac:dyDescent="0.3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4.25" customHeight="1" x14ac:dyDescent="0.3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4.25" customHeight="1" x14ac:dyDescent="0.3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4.25" customHeight="1" x14ac:dyDescent="0.3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4.25" customHeight="1" x14ac:dyDescent="0.3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4.25" customHeight="1" x14ac:dyDescent="0.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4.25" customHeight="1" x14ac:dyDescent="0.3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4.25" customHeight="1" x14ac:dyDescent="0.3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4.25" customHeight="1" x14ac:dyDescent="0.3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4.25" customHeight="1" x14ac:dyDescent="0.3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4.25" customHeight="1" x14ac:dyDescent="0.3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4.25" customHeight="1" x14ac:dyDescent="0.3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4.25" customHeight="1" x14ac:dyDescent="0.3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4.25" customHeight="1" x14ac:dyDescent="0.3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4.25" customHeight="1" x14ac:dyDescent="0.3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4.25" customHeight="1" x14ac:dyDescent="0.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4.25" customHeight="1" x14ac:dyDescent="0.3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4.25" customHeight="1" x14ac:dyDescent="0.3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4.25" customHeight="1" x14ac:dyDescent="0.3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4.25" customHeight="1" x14ac:dyDescent="0.3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4.25" customHeight="1" x14ac:dyDescent="0.3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4.25" customHeight="1" x14ac:dyDescent="0.3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4.25" customHeight="1" x14ac:dyDescent="0.3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4.25" customHeight="1" x14ac:dyDescent="0.3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4.25" customHeight="1" x14ac:dyDescent="0.3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4.25" customHeight="1" x14ac:dyDescent="0.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4.25" customHeight="1" x14ac:dyDescent="0.3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4.25" customHeight="1" x14ac:dyDescent="0.3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4.25" customHeight="1" x14ac:dyDescent="0.3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4.25" customHeight="1" x14ac:dyDescent="0.3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4.25" customHeight="1" x14ac:dyDescent="0.3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4.25" customHeight="1" x14ac:dyDescent="0.3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4.25" customHeight="1" x14ac:dyDescent="0.3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4.25" customHeight="1" x14ac:dyDescent="0.3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4.25" customHeight="1" x14ac:dyDescent="0.3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4.25" customHeight="1" x14ac:dyDescent="0.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4.25" customHeight="1" x14ac:dyDescent="0.3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4.25" customHeight="1" x14ac:dyDescent="0.3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4.25" customHeight="1" x14ac:dyDescent="0.3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4.25" customHeight="1" x14ac:dyDescent="0.3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4.25" customHeight="1" x14ac:dyDescent="0.3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4.25" customHeight="1" x14ac:dyDescent="0.3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4.25" customHeight="1" x14ac:dyDescent="0.3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4.25" customHeight="1" x14ac:dyDescent="0.3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4.25" customHeight="1" x14ac:dyDescent="0.3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4.25" customHeight="1" x14ac:dyDescent="0.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4.25" customHeight="1" x14ac:dyDescent="0.3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4.25" customHeight="1" x14ac:dyDescent="0.3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4.25" customHeight="1" x14ac:dyDescent="0.3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4.25" customHeight="1" x14ac:dyDescent="0.3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4.25" customHeight="1" x14ac:dyDescent="0.3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4.25" customHeight="1" x14ac:dyDescent="0.3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4.25" customHeight="1" x14ac:dyDescent="0.3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4.25" customHeight="1" x14ac:dyDescent="0.3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4.25" customHeight="1" x14ac:dyDescent="0.3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4.25" customHeight="1" x14ac:dyDescent="0.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4.25" customHeight="1" x14ac:dyDescent="0.3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4.25" customHeight="1" x14ac:dyDescent="0.3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4.25" customHeight="1" x14ac:dyDescent="0.3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4.25" customHeight="1" x14ac:dyDescent="0.3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4.25" customHeight="1" x14ac:dyDescent="0.3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4.25" customHeight="1" x14ac:dyDescent="0.3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4.25" customHeight="1" x14ac:dyDescent="0.3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4.25" customHeight="1" x14ac:dyDescent="0.3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4.25" customHeight="1" x14ac:dyDescent="0.3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4.25" customHeight="1" x14ac:dyDescent="0.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4.25" customHeight="1" x14ac:dyDescent="0.3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4.25" customHeight="1" x14ac:dyDescent="0.3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4.25" customHeight="1" x14ac:dyDescent="0.3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4.25" customHeight="1" x14ac:dyDescent="0.3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4.25" customHeight="1" x14ac:dyDescent="0.3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4.25" customHeight="1" x14ac:dyDescent="0.3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4.25" customHeight="1" x14ac:dyDescent="0.3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4.25" customHeight="1" x14ac:dyDescent="0.3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4.25" customHeight="1" x14ac:dyDescent="0.3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4.25" customHeight="1" x14ac:dyDescent="0.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4.25" customHeight="1" x14ac:dyDescent="0.3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4.25" customHeight="1" x14ac:dyDescent="0.3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4.25" customHeight="1" x14ac:dyDescent="0.3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4.25" customHeight="1" x14ac:dyDescent="0.3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4.25" customHeight="1" x14ac:dyDescent="0.3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4.25" customHeight="1" x14ac:dyDescent="0.3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4.25" customHeight="1" x14ac:dyDescent="0.3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4.25" customHeight="1" x14ac:dyDescent="0.3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4.25" customHeight="1" x14ac:dyDescent="0.3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4.25" customHeight="1" x14ac:dyDescent="0.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4.25" customHeight="1" x14ac:dyDescent="0.3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4.25" customHeight="1" x14ac:dyDescent="0.3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4.25" customHeight="1" x14ac:dyDescent="0.3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4.25" customHeight="1" x14ac:dyDescent="0.3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4.25" customHeight="1" x14ac:dyDescent="0.3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4.25" customHeight="1" x14ac:dyDescent="0.3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4.25" customHeight="1" x14ac:dyDescent="0.3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4.25" customHeight="1" x14ac:dyDescent="0.3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4.25" customHeight="1" x14ac:dyDescent="0.3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4.25" customHeight="1" x14ac:dyDescent="0.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4.25" customHeight="1" x14ac:dyDescent="0.3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4.25" customHeight="1" x14ac:dyDescent="0.3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4.25" customHeight="1" x14ac:dyDescent="0.3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4.25" customHeight="1" x14ac:dyDescent="0.3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4.25" customHeight="1" x14ac:dyDescent="0.3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4.25" customHeight="1" x14ac:dyDescent="0.3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4.25" customHeight="1" x14ac:dyDescent="0.3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4.25" customHeight="1" x14ac:dyDescent="0.3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4.25" customHeight="1" x14ac:dyDescent="0.3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4.25" customHeight="1" x14ac:dyDescent="0.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4.25" customHeight="1" x14ac:dyDescent="0.3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4.25" customHeight="1" x14ac:dyDescent="0.3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4.25" customHeight="1" x14ac:dyDescent="0.3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4.25" customHeight="1" x14ac:dyDescent="0.3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4.25" customHeight="1" x14ac:dyDescent="0.3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4.25" customHeight="1" x14ac:dyDescent="0.3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4.25" customHeight="1" x14ac:dyDescent="0.3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4.25" customHeight="1" x14ac:dyDescent="0.3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4.25" customHeight="1" x14ac:dyDescent="0.3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4.25" customHeight="1" x14ac:dyDescent="0.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4.25" customHeight="1" x14ac:dyDescent="0.3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4.25" customHeight="1" x14ac:dyDescent="0.3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4.25" customHeight="1" x14ac:dyDescent="0.3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4.25" customHeight="1" x14ac:dyDescent="0.3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4.25" customHeight="1" x14ac:dyDescent="0.3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4.25" customHeight="1" x14ac:dyDescent="0.3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4.25" customHeight="1" x14ac:dyDescent="0.3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4.25" customHeight="1" x14ac:dyDescent="0.3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4.25" customHeight="1" x14ac:dyDescent="0.3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4.25" customHeight="1" x14ac:dyDescent="0.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4.25" customHeight="1" x14ac:dyDescent="0.3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4.25" customHeight="1" x14ac:dyDescent="0.3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4.25" customHeight="1" x14ac:dyDescent="0.3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4.25" customHeight="1" x14ac:dyDescent="0.3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4.25" customHeight="1" x14ac:dyDescent="0.3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4.25" customHeight="1" x14ac:dyDescent="0.3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4.25" customHeight="1" x14ac:dyDescent="0.3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4.25" customHeight="1" x14ac:dyDescent="0.3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4.25" customHeight="1" x14ac:dyDescent="0.3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4.25" customHeight="1" x14ac:dyDescent="0.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4.25" customHeight="1" x14ac:dyDescent="0.3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4.25" customHeight="1" x14ac:dyDescent="0.3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4.25" customHeight="1" x14ac:dyDescent="0.3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4.25" customHeight="1" x14ac:dyDescent="0.3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4.25" customHeight="1" x14ac:dyDescent="0.3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4.25" customHeight="1" x14ac:dyDescent="0.3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4.25" customHeight="1" x14ac:dyDescent="0.3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4.25" customHeight="1" x14ac:dyDescent="0.3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4.25" customHeight="1" x14ac:dyDescent="0.3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4.25" customHeight="1" x14ac:dyDescent="0.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4.25" customHeight="1" x14ac:dyDescent="0.3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4.25" customHeight="1" x14ac:dyDescent="0.3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4.25" customHeight="1" x14ac:dyDescent="0.3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4.25" customHeight="1" x14ac:dyDescent="0.3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4.25" customHeight="1" x14ac:dyDescent="0.3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4.25" customHeight="1" x14ac:dyDescent="0.3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4.25" customHeight="1" x14ac:dyDescent="0.3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4.25" customHeight="1" x14ac:dyDescent="0.3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4.25" customHeight="1" x14ac:dyDescent="0.3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4.25" customHeight="1" x14ac:dyDescent="0.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4.25" customHeight="1" x14ac:dyDescent="0.3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4.25" customHeight="1" x14ac:dyDescent="0.3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4.25" customHeight="1" x14ac:dyDescent="0.3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4.25" customHeight="1" x14ac:dyDescent="0.3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4.25" customHeight="1" x14ac:dyDescent="0.3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4.25" customHeight="1" x14ac:dyDescent="0.3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4.25" customHeight="1" x14ac:dyDescent="0.3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4.25" customHeight="1" x14ac:dyDescent="0.3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4.25" customHeight="1" x14ac:dyDescent="0.3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4.25" customHeight="1" x14ac:dyDescent="0.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4.25" customHeight="1" x14ac:dyDescent="0.3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4.25" customHeight="1" x14ac:dyDescent="0.3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4.25" customHeight="1" x14ac:dyDescent="0.3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4.25" customHeight="1" x14ac:dyDescent="0.3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4.25" customHeight="1" x14ac:dyDescent="0.3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4.25" customHeight="1" x14ac:dyDescent="0.3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4.25" customHeight="1" x14ac:dyDescent="0.3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4.25" customHeight="1" x14ac:dyDescent="0.3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4.25" customHeight="1" x14ac:dyDescent="0.3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4.25" customHeight="1" x14ac:dyDescent="0.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4.25" customHeight="1" x14ac:dyDescent="0.3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4.25" customHeight="1" x14ac:dyDescent="0.3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4.25" customHeight="1" x14ac:dyDescent="0.3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4.25" customHeight="1" x14ac:dyDescent="0.3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4.25" customHeight="1" x14ac:dyDescent="0.3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4.25" customHeight="1" x14ac:dyDescent="0.3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4.25" customHeight="1" x14ac:dyDescent="0.3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4.25" customHeight="1" x14ac:dyDescent="0.3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4.25" customHeight="1" x14ac:dyDescent="0.3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4.25" customHeight="1" x14ac:dyDescent="0.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4.25" customHeight="1" x14ac:dyDescent="0.3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4.25" customHeight="1" x14ac:dyDescent="0.3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4.25" customHeight="1" x14ac:dyDescent="0.3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4.25" customHeight="1" x14ac:dyDescent="0.3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4.25" customHeight="1" x14ac:dyDescent="0.3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4.25" customHeight="1" x14ac:dyDescent="0.3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4.25" customHeight="1" x14ac:dyDescent="0.3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4.25" customHeight="1" x14ac:dyDescent="0.3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4.25" customHeight="1" x14ac:dyDescent="0.3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4.25" customHeight="1" x14ac:dyDescent="0.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4.25" customHeight="1" x14ac:dyDescent="0.3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4.25" customHeight="1" x14ac:dyDescent="0.3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4.25" customHeight="1" x14ac:dyDescent="0.3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4.25" customHeight="1" x14ac:dyDescent="0.3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4.25" customHeight="1" x14ac:dyDescent="0.3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4.25" customHeight="1" x14ac:dyDescent="0.3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4.25" customHeight="1" x14ac:dyDescent="0.3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4.25" customHeight="1" x14ac:dyDescent="0.3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4.25" customHeight="1" x14ac:dyDescent="0.3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4.25" customHeight="1" x14ac:dyDescent="0.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4.25" customHeight="1" x14ac:dyDescent="0.3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4.25" customHeight="1" x14ac:dyDescent="0.3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4.25" customHeight="1" x14ac:dyDescent="0.3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4.25" customHeight="1" x14ac:dyDescent="0.3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4.25" customHeight="1" x14ac:dyDescent="0.3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4.25" customHeight="1" x14ac:dyDescent="0.3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4.25" customHeight="1" x14ac:dyDescent="0.3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4.25" customHeight="1" x14ac:dyDescent="0.3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4.25" customHeight="1" x14ac:dyDescent="0.3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4.25" customHeight="1" x14ac:dyDescent="0.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4.25" customHeight="1" x14ac:dyDescent="0.3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4.25" customHeight="1" x14ac:dyDescent="0.3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4.25" customHeight="1" x14ac:dyDescent="0.3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4.25" customHeight="1" x14ac:dyDescent="0.3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4.25" customHeight="1" x14ac:dyDescent="0.3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4.25" customHeight="1" x14ac:dyDescent="0.3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4.25" customHeight="1" x14ac:dyDescent="0.3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4.25" customHeight="1" x14ac:dyDescent="0.3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4.25" customHeight="1" x14ac:dyDescent="0.3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4.25" customHeight="1" x14ac:dyDescent="0.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4.25" customHeight="1" x14ac:dyDescent="0.3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4.25" customHeight="1" x14ac:dyDescent="0.3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4.25" customHeight="1" x14ac:dyDescent="0.3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4.25" customHeight="1" x14ac:dyDescent="0.3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4.25" customHeight="1" x14ac:dyDescent="0.3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4.25" customHeight="1" x14ac:dyDescent="0.3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4.25" customHeight="1" x14ac:dyDescent="0.3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4.25" customHeight="1" x14ac:dyDescent="0.3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4.25" customHeight="1" x14ac:dyDescent="0.3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4.25" customHeight="1" x14ac:dyDescent="0.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4.25" customHeight="1" x14ac:dyDescent="0.3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4.25" customHeight="1" x14ac:dyDescent="0.3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4.25" customHeight="1" x14ac:dyDescent="0.3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4.25" customHeight="1" x14ac:dyDescent="0.3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4.25" customHeight="1" x14ac:dyDescent="0.3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4.25" customHeight="1" x14ac:dyDescent="0.3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4.25" customHeight="1" x14ac:dyDescent="0.3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4.25" customHeight="1" x14ac:dyDescent="0.3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4.25" customHeight="1" x14ac:dyDescent="0.3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4.25" customHeight="1" x14ac:dyDescent="0.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4.25" customHeight="1" x14ac:dyDescent="0.3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4.25" customHeight="1" x14ac:dyDescent="0.3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4.25" customHeight="1" x14ac:dyDescent="0.3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4.25" customHeight="1" x14ac:dyDescent="0.3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4.25" customHeight="1" x14ac:dyDescent="0.3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4.25" customHeight="1" x14ac:dyDescent="0.3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4.25" customHeight="1" x14ac:dyDescent="0.3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4.25" customHeight="1" x14ac:dyDescent="0.3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4.25" customHeight="1" x14ac:dyDescent="0.3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4.25" customHeight="1" x14ac:dyDescent="0.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4.25" customHeight="1" x14ac:dyDescent="0.3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4.25" customHeight="1" x14ac:dyDescent="0.3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4.25" customHeight="1" x14ac:dyDescent="0.3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4.25" customHeight="1" x14ac:dyDescent="0.3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4.25" customHeight="1" x14ac:dyDescent="0.3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4.25" customHeight="1" x14ac:dyDescent="0.3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4.25" customHeight="1" x14ac:dyDescent="0.3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4.25" customHeight="1" x14ac:dyDescent="0.3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4.25" customHeight="1" x14ac:dyDescent="0.3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4.25" customHeight="1" x14ac:dyDescent="0.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4.25" customHeight="1" x14ac:dyDescent="0.3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4.25" customHeight="1" x14ac:dyDescent="0.3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4.25" customHeight="1" x14ac:dyDescent="0.3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4.25" customHeight="1" x14ac:dyDescent="0.3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4.25" customHeight="1" x14ac:dyDescent="0.3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4.25" customHeight="1" x14ac:dyDescent="0.3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4.25" customHeight="1" x14ac:dyDescent="0.3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4.25" customHeight="1" x14ac:dyDescent="0.3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4.25" customHeight="1" x14ac:dyDescent="0.3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4.25" customHeight="1" x14ac:dyDescent="0.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4.25" customHeight="1" x14ac:dyDescent="0.3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4.25" customHeight="1" x14ac:dyDescent="0.3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4.25" customHeight="1" x14ac:dyDescent="0.3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4.25" customHeight="1" x14ac:dyDescent="0.3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4.25" customHeight="1" x14ac:dyDescent="0.3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4.25" customHeight="1" x14ac:dyDescent="0.3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4.25" customHeight="1" x14ac:dyDescent="0.3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4.25" customHeight="1" x14ac:dyDescent="0.3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4.25" customHeight="1" x14ac:dyDescent="0.3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4.25" customHeight="1" x14ac:dyDescent="0.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4.25" customHeight="1" x14ac:dyDescent="0.3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4.25" customHeight="1" x14ac:dyDescent="0.3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4.25" customHeight="1" x14ac:dyDescent="0.3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4.25" customHeight="1" x14ac:dyDescent="0.3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4.25" customHeight="1" x14ac:dyDescent="0.3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4.25" customHeight="1" x14ac:dyDescent="0.3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4.25" customHeight="1" x14ac:dyDescent="0.3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4.25" customHeight="1" x14ac:dyDescent="0.3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4.25" customHeight="1" x14ac:dyDescent="0.3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4.25" customHeight="1" x14ac:dyDescent="0.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4.25" customHeight="1" x14ac:dyDescent="0.3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4.25" customHeight="1" x14ac:dyDescent="0.3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4.25" customHeight="1" x14ac:dyDescent="0.3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4.25" customHeight="1" x14ac:dyDescent="0.3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4.25" customHeight="1" x14ac:dyDescent="0.3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4.25" customHeight="1" x14ac:dyDescent="0.3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4.25" customHeight="1" x14ac:dyDescent="0.3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4.25" customHeight="1" x14ac:dyDescent="0.3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4.25" customHeight="1" x14ac:dyDescent="0.3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4.25" customHeight="1" x14ac:dyDescent="0.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4.25" customHeight="1" x14ac:dyDescent="0.3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4.25" customHeight="1" x14ac:dyDescent="0.3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4.25" customHeight="1" x14ac:dyDescent="0.3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4.25" customHeight="1" x14ac:dyDescent="0.3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4.25" customHeight="1" x14ac:dyDescent="0.3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4.25" customHeight="1" x14ac:dyDescent="0.3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4.25" customHeight="1" x14ac:dyDescent="0.3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4.25" customHeight="1" x14ac:dyDescent="0.3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4.25" customHeight="1" x14ac:dyDescent="0.3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4.25" customHeight="1" x14ac:dyDescent="0.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4.25" customHeight="1" x14ac:dyDescent="0.3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4.25" customHeight="1" x14ac:dyDescent="0.3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4.25" customHeight="1" x14ac:dyDescent="0.3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4.25" customHeight="1" x14ac:dyDescent="0.3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4.25" customHeight="1" x14ac:dyDescent="0.3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4.25" customHeight="1" x14ac:dyDescent="0.3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4.25" customHeight="1" x14ac:dyDescent="0.3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4.25" customHeight="1" x14ac:dyDescent="0.3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4.25" customHeight="1" x14ac:dyDescent="0.3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4.25" customHeight="1" x14ac:dyDescent="0.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4.25" customHeight="1" x14ac:dyDescent="0.3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4.25" customHeight="1" x14ac:dyDescent="0.3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4.25" customHeight="1" x14ac:dyDescent="0.3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4.25" customHeight="1" x14ac:dyDescent="0.3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4.25" customHeight="1" x14ac:dyDescent="0.3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4.25" customHeight="1" x14ac:dyDescent="0.3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4.25" customHeight="1" x14ac:dyDescent="0.3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4.25" customHeight="1" x14ac:dyDescent="0.3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4.25" customHeight="1" x14ac:dyDescent="0.3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4.25" customHeight="1" x14ac:dyDescent="0.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4.25" customHeight="1" x14ac:dyDescent="0.3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4.25" customHeight="1" x14ac:dyDescent="0.3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4.25" customHeight="1" x14ac:dyDescent="0.3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4.25" customHeight="1" x14ac:dyDescent="0.3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4.25" customHeight="1" x14ac:dyDescent="0.3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4.25" customHeight="1" x14ac:dyDescent="0.3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4.25" customHeight="1" x14ac:dyDescent="0.3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4.25" customHeight="1" x14ac:dyDescent="0.3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4.25" customHeight="1" x14ac:dyDescent="0.3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4.25" customHeight="1" x14ac:dyDescent="0.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4.25" customHeight="1" x14ac:dyDescent="0.3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4.25" customHeight="1" x14ac:dyDescent="0.3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4.25" customHeight="1" x14ac:dyDescent="0.3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4.25" customHeight="1" x14ac:dyDescent="0.3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4.25" customHeight="1" x14ac:dyDescent="0.3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4.25" customHeight="1" x14ac:dyDescent="0.3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4.25" customHeight="1" x14ac:dyDescent="0.3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4.25" customHeight="1" x14ac:dyDescent="0.3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4.25" customHeight="1" x14ac:dyDescent="0.3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4.25" customHeight="1" x14ac:dyDescent="0.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4.25" customHeight="1" x14ac:dyDescent="0.3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4.25" customHeight="1" x14ac:dyDescent="0.3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4.25" customHeight="1" x14ac:dyDescent="0.3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4.25" customHeight="1" x14ac:dyDescent="0.3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4.25" customHeight="1" x14ac:dyDescent="0.3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4.25" customHeight="1" x14ac:dyDescent="0.3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4.25" customHeight="1" x14ac:dyDescent="0.3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4.25" customHeight="1" x14ac:dyDescent="0.3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4.25" customHeight="1" x14ac:dyDescent="0.3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4.25" customHeight="1" x14ac:dyDescent="0.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4.25" customHeight="1" x14ac:dyDescent="0.3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4.25" customHeight="1" x14ac:dyDescent="0.3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4.25" customHeight="1" x14ac:dyDescent="0.3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4.25" customHeight="1" x14ac:dyDescent="0.3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4.25" customHeight="1" x14ac:dyDescent="0.3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4.25" customHeight="1" x14ac:dyDescent="0.3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4.25" customHeight="1" x14ac:dyDescent="0.3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4.25" customHeight="1" x14ac:dyDescent="0.3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4.25" customHeight="1" x14ac:dyDescent="0.3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4.25" customHeight="1" x14ac:dyDescent="0.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4.25" customHeight="1" x14ac:dyDescent="0.3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4.25" customHeight="1" x14ac:dyDescent="0.3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4.25" customHeight="1" x14ac:dyDescent="0.3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4.25" customHeight="1" x14ac:dyDescent="0.3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4.25" customHeight="1" x14ac:dyDescent="0.3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4.25" customHeight="1" x14ac:dyDescent="0.3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4.25" customHeight="1" x14ac:dyDescent="0.3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4.25" customHeight="1" x14ac:dyDescent="0.3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4.25" customHeight="1" x14ac:dyDescent="0.3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4.25" customHeight="1" x14ac:dyDescent="0.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4.25" customHeight="1" x14ac:dyDescent="0.3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4.25" customHeight="1" x14ac:dyDescent="0.3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4.25" customHeight="1" x14ac:dyDescent="0.3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4.25" customHeight="1" x14ac:dyDescent="0.3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4.25" customHeight="1" x14ac:dyDescent="0.3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4.25" customHeight="1" x14ac:dyDescent="0.3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4.25" customHeight="1" x14ac:dyDescent="0.3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4.25" customHeight="1" x14ac:dyDescent="0.3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4.25" customHeight="1" x14ac:dyDescent="0.3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4.25" customHeight="1" x14ac:dyDescent="0.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4.25" customHeight="1" x14ac:dyDescent="0.3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4.25" customHeight="1" x14ac:dyDescent="0.3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4.25" customHeight="1" x14ac:dyDescent="0.3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4.25" customHeight="1" x14ac:dyDescent="0.3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4.25" customHeight="1" x14ac:dyDescent="0.3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4.25" customHeight="1" x14ac:dyDescent="0.3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4.25" customHeight="1" x14ac:dyDescent="0.3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4.25" customHeight="1" x14ac:dyDescent="0.3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4.25" customHeight="1" x14ac:dyDescent="0.3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4.25" customHeight="1" x14ac:dyDescent="0.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4.25" customHeight="1" x14ac:dyDescent="0.3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4.25" customHeight="1" x14ac:dyDescent="0.3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4.25" customHeight="1" x14ac:dyDescent="0.3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4.25" customHeight="1" x14ac:dyDescent="0.3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4.25" customHeight="1" x14ac:dyDescent="0.3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4.25" customHeight="1" x14ac:dyDescent="0.3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4.25" customHeight="1" x14ac:dyDescent="0.3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4.25" customHeight="1" x14ac:dyDescent="0.3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4.25" customHeight="1" x14ac:dyDescent="0.3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4.25" customHeight="1" x14ac:dyDescent="0.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4.25" customHeight="1" x14ac:dyDescent="0.3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4.25" customHeight="1" x14ac:dyDescent="0.3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4.25" customHeight="1" x14ac:dyDescent="0.3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4.25" customHeight="1" x14ac:dyDescent="0.3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4.25" customHeight="1" x14ac:dyDescent="0.3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4.25" customHeight="1" x14ac:dyDescent="0.3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4.25" customHeight="1" x14ac:dyDescent="0.3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4.25" customHeight="1" x14ac:dyDescent="0.3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4.25" customHeight="1" x14ac:dyDescent="0.3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4.25" customHeight="1" x14ac:dyDescent="0.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4.25" customHeight="1" x14ac:dyDescent="0.3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4.25" customHeight="1" x14ac:dyDescent="0.3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4.25" customHeight="1" x14ac:dyDescent="0.3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4.25" customHeight="1" x14ac:dyDescent="0.3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4.25" customHeight="1" x14ac:dyDescent="0.3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4.25" customHeight="1" x14ac:dyDescent="0.3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4.25" customHeight="1" x14ac:dyDescent="0.3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4.25" customHeight="1" x14ac:dyDescent="0.3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4.25" customHeight="1" x14ac:dyDescent="0.3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4.25" customHeight="1" x14ac:dyDescent="0.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4.25" customHeight="1" x14ac:dyDescent="0.3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4.25" customHeight="1" x14ac:dyDescent="0.3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4.25" customHeight="1" x14ac:dyDescent="0.3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4.25" customHeight="1" x14ac:dyDescent="0.3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4.25" customHeight="1" x14ac:dyDescent="0.3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4.25" customHeight="1" x14ac:dyDescent="0.3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4.25" customHeight="1" x14ac:dyDescent="0.3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4.25" customHeight="1" x14ac:dyDescent="0.3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4.25" customHeight="1" x14ac:dyDescent="0.3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4.25" customHeight="1" x14ac:dyDescent="0.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4.25" customHeight="1" x14ac:dyDescent="0.3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4.25" customHeight="1" x14ac:dyDescent="0.3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4.25" customHeight="1" x14ac:dyDescent="0.3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4.25" customHeight="1" x14ac:dyDescent="0.3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4.25" customHeight="1" x14ac:dyDescent="0.3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4.25" customHeight="1" x14ac:dyDescent="0.3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4.25" customHeight="1" x14ac:dyDescent="0.3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4.25" customHeight="1" x14ac:dyDescent="0.3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4.25" customHeight="1" x14ac:dyDescent="0.3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4.25" customHeight="1" x14ac:dyDescent="0.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4.25" customHeight="1" x14ac:dyDescent="0.3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4.25" customHeight="1" x14ac:dyDescent="0.3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4.25" customHeight="1" x14ac:dyDescent="0.3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4.25" customHeight="1" x14ac:dyDescent="0.3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4.25" customHeight="1" x14ac:dyDescent="0.3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4.25" customHeight="1" x14ac:dyDescent="0.3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4.25" customHeight="1" x14ac:dyDescent="0.3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4.25" customHeight="1" x14ac:dyDescent="0.3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4.25" customHeight="1" x14ac:dyDescent="0.3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4.25" customHeight="1" x14ac:dyDescent="0.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4.25" customHeight="1" x14ac:dyDescent="0.3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4.25" customHeight="1" x14ac:dyDescent="0.3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4.25" customHeight="1" x14ac:dyDescent="0.3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4.25" customHeight="1" x14ac:dyDescent="0.3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4.25" customHeight="1" x14ac:dyDescent="0.3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4.25" customHeight="1" x14ac:dyDescent="0.3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4.25" customHeight="1" x14ac:dyDescent="0.3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4.25" customHeight="1" x14ac:dyDescent="0.3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4.25" customHeight="1" x14ac:dyDescent="0.3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4.25" customHeight="1" x14ac:dyDescent="0.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4.25" customHeight="1" x14ac:dyDescent="0.3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4.25" customHeight="1" x14ac:dyDescent="0.3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4.25" customHeight="1" x14ac:dyDescent="0.3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4.25" customHeight="1" x14ac:dyDescent="0.3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4.25" customHeight="1" x14ac:dyDescent="0.3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4.25" customHeight="1" x14ac:dyDescent="0.3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4.25" customHeight="1" x14ac:dyDescent="0.3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4.25" customHeight="1" x14ac:dyDescent="0.3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4.25" customHeight="1" x14ac:dyDescent="0.3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4.25" customHeight="1" x14ac:dyDescent="0.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4.25" customHeight="1" x14ac:dyDescent="0.3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4.25" customHeight="1" x14ac:dyDescent="0.3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4.25" customHeight="1" x14ac:dyDescent="0.3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4.25" customHeight="1" x14ac:dyDescent="0.3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4.25" customHeight="1" x14ac:dyDescent="0.3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4.25" customHeight="1" x14ac:dyDescent="0.3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4.25" customHeight="1" x14ac:dyDescent="0.3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4.25" customHeight="1" x14ac:dyDescent="0.3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4.25" customHeight="1" x14ac:dyDescent="0.3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4.25" customHeight="1" x14ac:dyDescent="0.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4.25" customHeight="1" x14ac:dyDescent="0.3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4.25" customHeight="1" x14ac:dyDescent="0.3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4.25" customHeight="1" x14ac:dyDescent="0.3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4.25" customHeight="1" x14ac:dyDescent="0.3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4.25" customHeight="1" x14ac:dyDescent="0.3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4.25" customHeight="1" x14ac:dyDescent="0.3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4.25" customHeight="1" x14ac:dyDescent="0.3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4.25" customHeight="1" x14ac:dyDescent="0.3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4.25" customHeight="1" x14ac:dyDescent="0.3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4.25" customHeight="1" x14ac:dyDescent="0.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4.25" customHeight="1" x14ac:dyDescent="0.3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4.25" customHeight="1" x14ac:dyDescent="0.3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4.25" customHeight="1" x14ac:dyDescent="0.3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4.25" customHeight="1" x14ac:dyDescent="0.3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4.25" customHeight="1" x14ac:dyDescent="0.3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4.25" customHeight="1" x14ac:dyDescent="0.3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4.25" customHeight="1" x14ac:dyDescent="0.3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4.25" customHeight="1" x14ac:dyDescent="0.3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4.25" customHeight="1" x14ac:dyDescent="0.3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4.25" customHeight="1" x14ac:dyDescent="0.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4.25" customHeight="1" x14ac:dyDescent="0.3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4.25" customHeight="1" x14ac:dyDescent="0.3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4.25" customHeight="1" x14ac:dyDescent="0.3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4.25" customHeight="1" x14ac:dyDescent="0.3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4.25" customHeight="1" x14ac:dyDescent="0.3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4.25" customHeight="1" x14ac:dyDescent="0.3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4.25" customHeight="1" x14ac:dyDescent="0.3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4.25" customHeight="1" x14ac:dyDescent="0.3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4.25" customHeight="1" x14ac:dyDescent="0.3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4.25" customHeight="1" x14ac:dyDescent="0.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4.25" customHeight="1" x14ac:dyDescent="0.3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4.25" customHeight="1" x14ac:dyDescent="0.3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4.25" customHeight="1" x14ac:dyDescent="0.3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4.25" customHeight="1" x14ac:dyDescent="0.3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4.25" customHeight="1" x14ac:dyDescent="0.3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4.25" customHeight="1" x14ac:dyDescent="0.3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4.25" customHeight="1" x14ac:dyDescent="0.3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4.25" customHeight="1" x14ac:dyDescent="0.3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4.25" customHeight="1" x14ac:dyDescent="0.3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4.25" customHeight="1" x14ac:dyDescent="0.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4.25" customHeight="1" x14ac:dyDescent="0.3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4.25" customHeight="1" x14ac:dyDescent="0.3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4.25" customHeight="1" x14ac:dyDescent="0.3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4.25" customHeight="1" x14ac:dyDescent="0.3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4.25" customHeight="1" x14ac:dyDescent="0.3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4.25" customHeight="1" x14ac:dyDescent="0.3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4.25" customHeight="1" x14ac:dyDescent="0.3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4.25" customHeight="1" x14ac:dyDescent="0.3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4.25" customHeight="1" x14ac:dyDescent="0.3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4.25" customHeight="1" x14ac:dyDescent="0.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4.25" customHeight="1" x14ac:dyDescent="0.3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4.25" customHeight="1" x14ac:dyDescent="0.3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4.25" customHeight="1" x14ac:dyDescent="0.3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4.25" customHeight="1" x14ac:dyDescent="0.3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4.25" customHeight="1" x14ac:dyDescent="0.3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4.25" customHeight="1" x14ac:dyDescent="0.3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4.25" customHeight="1" x14ac:dyDescent="0.3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4.25" customHeight="1" x14ac:dyDescent="0.3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4.25" customHeight="1" x14ac:dyDescent="0.3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4.25" customHeight="1" x14ac:dyDescent="0.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4.25" customHeight="1" x14ac:dyDescent="0.3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4.25" customHeight="1" x14ac:dyDescent="0.3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4.25" customHeight="1" x14ac:dyDescent="0.3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4.25" customHeight="1" x14ac:dyDescent="0.3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4.25" customHeight="1" x14ac:dyDescent="0.3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4.25" customHeight="1" x14ac:dyDescent="0.3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4.25" customHeight="1" x14ac:dyDescent="0.3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4.25" customHeight="1" x14ac:dyDescent="0.3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4.25" customHeight="1" x14ac:dyDescent="0.3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4.25" customHeight="1" x14ac:dyDescent="0.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4.25" customHeight="1" x14ac:dyDescent="0.3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4.25" customHeight="1" x14ac:dyDescent="0.3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4.25" customHeight="1" x14ac:dyDescent="0.3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4.25" customHeight="1" x14ac:dyDescent="0.3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4.25" customHeight="1" x14ac:dyDescent="0.3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4.25" customHeight="1" x14ac:dyDescent="0.3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4.25" customHeight="1" x14ac:dyDescent="0.3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4.25" customHeight="1" x14ac:dyDescent="0.3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4.25" customHeight="1" x14ac:dyDescent="0.3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4.25" customHeight="1" x14ac:dyDescent="0.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4.25" customHeight="1" x14ac:dyDescent="0.3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4.25" customHeight="1" x14ac:dyDescent="0.3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4.25" customHeight="1" x14ac:dyDescent="0.3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4.25" customHeight="1" x14ac:dyDescent="0.3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4.25" customHeight="1" x14ac:dyDescent="0.3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4.25" customHeight="1" x14ac:dyDescent="0.3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4.25" customHeight="1" x14ac:dyDescent="0.3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4.25" customHeight="1" x14ac:dyDescent="0.3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4.25" customHeight="1" x14ac:dyDescent="0.3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4.25" customHeight="1" x14ac:dyDescent="0.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4.25" customHeight="1" x14ac:dyDescent="0.3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4.25" customHeight="1" x14ac:dyDescent="0.3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4.25" customHeight="1" x14ac:dyDescent="0.3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4.25" customHeight="1" x14ac:dyDescent="0.3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4.25" customHeight="1" x14ac:dyDescent="0.3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4.25" customHeight="1" x14ac:dyDescent="0.3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4.25" customHeight="1" x14ac:dyDescent="0.3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4.25" customHeight="1" x14ac:dyDescent="0.3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4.25" customHeight="1" x14ac:dyDescent="0.3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4.25" customHeight="1" x14ac:dyDescent="0.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4.25" customHeight="1" x14ac:dyDescent="0.3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4.25" customHeight="1" x14ac:dyDescent="0.3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4.25" customHeight="1" x14ac:dyDescent="0.3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4.25" customHeight="1" x14ac:dyDescent="0.3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4.25" customHeight="1" x14ac:dyDescent="0.3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4.25" customHeight="1" x14ac:dyDescent="0.3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4.25" customHeight="1" x14ac:dyDescent="0.3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4.25" customHeight="1" x14ac:dyDescent="0.3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4.25" customHeight="1" x14ac:dyDescent="0.3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4.25" customHeight="1" x14ac:dyDescent="0.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4.25" customHeight="1" x14ac:dyDescent="0.3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4.25" customHeight="1" x14ac:dyDescent="0.3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4.25" customHeight="1" x14ac:dyDescent="0.3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4.25" customHeight="1" x14ac:dyDescent="0.3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4.25" customHeight="1" x14ac:dyDescent="0.3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4.25" customHeight="1" x14ac:dyDescent="0.3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4.25" customHeight="1" x14ac:dyDescent="0.3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4.25" customHeight="1" x14ac:dyDescent="0.3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4.25" customHeight="1" x14ac:dyDescent="0.3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4.25" customHeight="1" x14ac:dyDescent="0.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4.25" customHeight="1" x14ac:dyDescent="0.3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4.25" customHeight="1" x14ac:dyDescent="0.3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4.25" customHeight="1" x14ac:dyDescent="0.3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4.25" customHeight="1" x14ac:dyDescent="0.3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4.25" customHeight="1" x14ac:dyDescent="0.3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4.25" customHeight="1" x14ac:dyDescent="0.3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4.25" customHeight="1" x14ac:dyDescent="0.3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4.25" customHeight="1" x14ac:dyDescent="0.3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4.25" customHeight="1" x14ac:dyDescent="0.3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4.25" customHeight="1" x14ac:dyDescent="0.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4.25" customHeight="1" x14ac:dyDescent="0.3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4.25" customHeight="1" x14ac:dyDescent="0.3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4.25" customHeight="1" x14ac:dyDescent="0.3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4.25" customHeight="1" x14ac:dyDescent="0.3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4.25" customHeight="1" x14ac:dyDescent="0.3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4.25" customHeight="1" x14ac:dyDescent="0.3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4.25" customHeight="1" x14ac:dyDescent="0.3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4.25" customHeight="1" x14ac:dyDescent="0.3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4.25" customHeight="1" x14ac:dyDescent="0.3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4.25" customHeight="1" x14ac:dyDescent="0.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4.25" customHeight="1" x14ac:dyDescent="0.3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4.25" customHeight="1" x14ac:dyDescent="0.3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4.25" customHeight="1" x14ac:dyDescent="0.3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4.25" customHeight="1" x14ac:dyDescent="0.3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4.25" customHeight="1" x14ac:dyDescent="0.3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4.25" customHeight="1" x14ac:dyDescent="0.3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4.25" customHeight="1" x14ac:dyDescent="0.3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6">
    <mergeCell ref="B39:D39"/>
    <mergeCell ref="B2:B4"/>
    <mergeCell ref="F2:J2"/>
    <mergeCell ref="F4:J4"/>
    <mergeCell ref="F6:J6"/>
    <mergeCell ref="B21:D21"/>
  </mergeCells>
  <pageMargins left="0.7" right="0.7" top="0.75" bottom="0.75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tabSelected="1" topLeftCell="A11" zoomScale="60" zoomScaleNormal="60" workbookViewId="0">
      <selection activeCell="O37" sqref="O37"/>
    </sheetView>
  </sheetViews>
  <sheetFormatPr defaultColWidth="12.6640625" defaultRowHeight="15" customHeight="1" x14ac:dyDescent="0.3"/>
  <cols>
    <col min="1" max="1" width="4.4140625" customWidth="1"/>
    <col min="2" max="2" width="21.4140625" customWidth="1"/>
    <col min="3" max="15" width="13.4140625" customWidth="1"/>
    <col min="16" max="17" width="14.75" customWidth="1"/>
    <col min="18" max="18" width="36.9140625" customWidth="1"/>
    <col min="19" max="26" width="7.75" customWidth="1"/>
  </cols>
  <sheetData>
    <row r="1" spans="1:26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 x14ac:dyDescent="0.35">
      <c r="A2" s="1"/>
      <c r="B2" s="127" t="s">
        <v>105</v>
      </c>
      <c r="C2" s="2"/>
      <c r="D2" s="1"/>
      <c r="E2" s="2" t="s">
        <v>1</v>
      </c>
      <c r="F2" s="1"/>
      <c r="G2" s="115" t="s">
        <v>2</v>
      </c>
      <c r="H2" s="116"/>
      <c r="I2" s="116"/>
      <c r="J2" s="116"/>
      <c r="K2" s="116"/>
      <c r="L2" s="1"/>
      <c r="M2" s="1"/>
      <c r="N2" s="1"/>
      <c r="O2" s="1"/>
      <c r="P2" s="1"/>
      <c r="Q2" s="65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1"/>
      <c r="B3" s="114"/>
      <c r="C3" s="1"/>
      <c r="D3" s="1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65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 x14ac:dyDescent="0.35">
      <c r="A4" s="1"/>
      <c r="B4" s="114"/>
      <c r="C4" s="1"/>
      <c r="D4" s="1"/>
      <c r="E4" s="2" t="s">
        <v>3</v>
      </c>
      <c r="F4" s="1"/>
      <c r="G4" s="115" t="s">
        <v>4</v>
      </c>
      <c r="H4" s="116"/>
      <c r="I4" s="116"/>
      <c r="J4" s="116"/>
      <c r="K4" s="116"/>
      <c r="L4" s="1"/>
      <c r="M4" s="1"/>
      <c r="N4" s="1"/>
      <c r="O4" s="1"/>
      <c r="P4" s="1"/>
      <c r="Q4" s="65"/>
      <c r="R4" s="1"/>
      <c r="S4" s="1"/>
      <c r="T4" s="1"/>
      <c r="U4" s="1"/>
      <c r="V4" s="1"/>
      <c r="W4" s="1"/>
      <c r="X4" s="1"/>
      <c r="Y4" s="1"/>
      <c r="Z4" s="1"/>
    </row>
    <row r="5" spans="1:26" ht="15.5" x14ac:dyDescent="0.3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65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35">
      <c r="A6" s="1"/>
      <c r="B6" s="1"/>
      <c r="C6" s="1"/>
      <c r="D6" s="1"/>
      <c r="E6" s="2" t="s">
        <v>5</v>
      </c>
      <c r="F6" s="1"/>
      <c r="G6" s="117">
        <v>44520</v>
      </c>
      <c r="H6" s="116"/>
      <c r="I6" s="116"/>
      <c r="J6" s="116"/>
      <c r="K6" s="116"/>
      <c r="L6" s="1"/>
      <c r="M6" s="1"/>
      <c r="N6" s="1"/>
      <c r="O6" s="1"/>
      <c r="P6" s="1"/>
      <c r="Q6" s="65"/>
      <c r="R6" s="1"/>
      <c r="S6" s="1"/>
      <c r="T6" s="1"/>
      <c r="U6" s="1"/>
      <c r="V6" s="1"/>
      <c r="W6" s="1"/>
      <c r="X6" s="1"/>
      <c r="Y6" s="1"/>
      <c r="Z6" s="1"/>
    </row>
    <row r="7" spans="1:26" ht="93" x14ac:dyDescent="0.35">
      <c r="A7" s="1"/>
      <c r="B7" s="1"/>
      <c r="C7" s="66" t="s">
        <v>106</v>
      </c>
      <c r="D7" s="1"/>
      <c r="E7" s="2"/>
      <c r="F7" s="1"/>
      <c r="G7" s="67"/>
      <c r="H7" s="67"/>
      <c r="I7" s="67"/>
      <c r="J7" s="67"/>
      <c r="K7" s="67"/>
      <c r="L7" s="1"/>
      <c r="M7" s="1"/>
      <c r="N7" s="1"/>
      <c r="O7" s="1"/>
      <c r="P7" s="1"/>
      <c r="Q7" s="65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48</v>
      </c>
      <c r="C8" s="1"/>
      <c r="D8" s="68" t="s">
        <v>50</v>
      </c>
      <c r="E8" s="68" t="s">
        <v>51</v>
      </c>
      <c r="F8" s="68" t="s">
        <v>52</v>
      </c>
      <c r="G8" s="68" t="s">
        <v>53</v>
      </c>
      <c r="H8" s="68" t="s">
        <v>54</v>
      </c>
      <c r="I8" s="68" t="s">
        <v>55</v>
      </c>
      <c r="J8" s="68" t="s">
        <v>56</v>
      </c>
      <c r="K8" s="68" t="s">
        <v>57</v>
      </c>
      <c r="L8" s="68" t="s">
        <v>58</v>
      </c>
      <c r="M8" s="68" t="s">
        <v>59</v>
      </c>
      <c r="N8" s="68" t="s">
        <v>60</v>
      </c>
      <c r="O8" s="68" t="s">
        <v>61</v>
      </c>
      <c r="P8" s="69"/>
      <c r="Q8" s="70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 x14ac:dyDescent="0.35">
      <c r="A9" s="1"/>
      <c r="B9" s="1"/>
      <c r="C9" s="71" t="s">
        <v>107</v>
      </c>
      <c r="D9" s="72" t="s">
        <v>65</v>
      </c>
      <c r="E9" s="72" t="s">
        <v>66</v>
      </c>
      <c r="F9" s="72" t="s">
        <v>67</v>
      </c>
      <c r="G9" s="72" t="s">
        <v>68</v>
      </c>
      <c r="H9" s="72" t="s">
        <v>69</v>
      </c>
      <c r="I9" s="72" t="s">
        <v>70</v>
      </c>
      <c r="J9" s="72" t="s">
        <v>71</v>
      </c>
      <c r="K9" s="72" t="s">
        <v>72</v>
      </c>
      <c r="L9" s="72" t="s">
        <v>73</v>
      </c>
      <c r="M9" s="72" t="s">
        <v>74</v>
      </c>
      <c r="N9" s="72" t="s">
        <v>75</v>
      </c>
      <c r="O9" s="72" t="s">
        <v>76</v>
      </c>
      <c r="P9" s="73" t="s">
        <v>108</v>
      </c>
      <c r="Q9" s="26" t="s">
        <v>109</v>
      </c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"/>
      <c r="B10" s="74" t="s">
        <v>110</v>
      </c>
      <c r="C10" s="75"/>
      <c r="D10" s="76">
        <f>'Sales Forecast'!E22</f>
        <v>1450</v>
      </c>
      <c r="E10" s="76">
        <f>'Sales Forecast'!F22</f>
        <v>717.5</v>
      </c>
      <c r="F10" s="76">
        <f>'Sales Forecast'!G22</f>
        <v>1050</v>
      </c>
      <c r="G10" s="76">
        <f>'Sales Forecast'!H22</f>
        <v>1007</v>
      </c>
      <c r="H10" s="76">
        <f>'Sales Forecast'!I22</f>
        <v>1105.5</v>
      </c>
      <c r="I10" s="76">
        <f>'Sales Forecast'!J22</f>
        <v>1168.5</v>
      </c>
      <c r="J10" s="76">
        <f>'Sales Forecast'!K22</f>
        <v>1215</v>
      </c>
      <c r="K10" s="76">
        <f>'Sales Forecast'!L22</f>
        <v>1221</v>
      </c>
      <c r="L10" s="76">
        <f>'Sales Forecast'!M22</f>
        <v>1285.5</v>
      </c>
      <c r="M10" s="76">
        <f>'Sales Forecast'!N22</f>
        <v>1285.5</v>
      </c>
      <c r="N10" s="76">
        <f>'Sales Forecast'!O22</f>
        <v>1195</v>
      </c>
      <c r="O10" s="76">
        <f>'Sales Forecast'!P22</f>
        <v>1275</v>
      </c>
      <c r="P10" s="77">
        <f t="shared" ref="P10:P12" si="0">SUM(C10:O10)</f>
        <v>13975.5</v>
      </c>
      <c r="Q10" s="78">
        <f t="shared" ref="Q10:Q12" si="1">P10</f>
        <v>13975.5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1"/>
      <c r="B11" s="79" t="s">
        <v>111</v>
      </c>
      <c r="C11" s="38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1">
        <f t="shared" si="0"/>
        <v>0</v>
      </c>
      <c r="Q11" s="82">
        <f t="shared" si="1"/>
        <v>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1"/>
      <c r="B12" s="79" t="s">
        <v>112</v>
      </c>
      <c r="C12" s="83">
        <v>2500</v>
      </c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5">
        <f t="shared" si="0"/>
        <v>2500</v>
      </c>
      <c r="Q12" s="86">
        <f t="shared" si="1"/>
        <v>2500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2"/>
      <c r="B13" s="87" t="s">
        <v>113</v>
      </c>
      <c r="C13" s="88">
        <f t="shared" ref="C13:Q13" si="2">SUM(C10:C12)</f>
        <v>2500</v>
      </c>
      <c r="D13" s="89">
        <f t="shared" si="2"/>
        <v>1450</v>
      </c>
      <c r="E13" s="89">
        <f t="shared" si="2"/>
        <v>717.5</v>
      </c>
      <c r="F13" s="89">
        <f t="shared" si="2"/>
        <v>1050</v>
      </c>
      <c r="G13" s="89">
        <f t="shared" si="2"/>
        <v>1007</v>
      </c>
      <c r="H13" s="89">
        <f t="shared" si="2"/>
        <v>1105.5</v>
      </c>
      <c r="I13" s="89">
        <f t="shared" si="2"/>
        <v>1168.5</v>
      </c>
      <c r="J13" s="89">
        <f t="shared" si="2"/>
        <v>1215</v>
      </c>
      <c r="K13" s="89">
        <f t="shared" si="2"/>
        <v>1221</v>
      </c>
      <c r="L13" s="89">
        <f t="shared" si="2"/>
        <v>1285.5</v>
      </c>
      <c r="M13" s="89">
        <f t="shared" si="2"/>
        <v>1285.5</v>
      </c>
      <c r="N13" s="89">
        <f t="shared" si="2"/>
        <v>1195</v>
      </c>
      <c r="O13" s="89">
        <f t="shared" si="2"/>
        <v>1275</v>
      </c>
      <c r="P13" s="90">
        <f t="shared" si="2"/>
        <v>16475.5</v>
      </c>
      <c r="Q13" s="91">
        <f t="shared" si="2"/>
        <v>16475.5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5.5" x14ac:dyDescent="0.35">
      <c r="A14" s="1"/>
      <c r="B14" s="79" t="s">
        <v>64</v>
      </c>
      <c r="C14" s="28">
        <v>300</v>
      </c>
      <c r="D14" s="92">
        <f>'Sales Forecast'!E23</f>
        <v>623</v>
      </c>
      <c r="E14" s="92">
        <f>'Sales Forecast'!F23</f>
        <v>317.14999999999998</v>
      </c>
      <c r="F14" s="92">
        <f>'Sales Forecast'!G23</f>
        <v>447.55</v>
      </c>
      <c r="G14" s="92">
        <f>'Sales Forecast'!H23</f>
        <v>473.94</v>
      </c>
      <c r="H14" s="92">
        <f>'Sales Forecast'!I23</f>
        <v>504.91</v>
      </c>
      <c r="I14" s="92">
        <f>'Sales Forecast'!J23</f>
        <v>535.62</v>
      </c>
      <c r="J14" s="92">
        <f>'Sales Forecast'!K23</f>
        <v>551.69999999999993</v>
      </c>
      <c r="K14" s="92">
        <f>'Sales Forecast'!L23</f>
        <v>553.11999999999989</v>
      </c>
      <c r="L14" s="92">
        <f>'Sales Forecast'!M23</f>
        <v>571.16</v>
      </c>
      <c r="M14" s="92">
        <f>'Sales Forecast'!N23</f>
        <v>571.16</v>
      </c>
      <c r="N14" s="92">
        <f>'Sales Forecast'!O23</f>
        <v>498.20000000000005</v>
      </c>
      <c r="O14" s="92">
        <f>'Sales Forecast'!P23</f>
        <v>526.9</v>
      </c>
      <c r="P14" s="93">
        <f t="shared" ref="P14:P37" si="3">+SUM(C14:O14)</f>
        <v>6474.4099999999989</v>
      </c>
      <c r="Q14" s="78">
        <f t="shared" ref="Q14:Q37" si="4">P14</f>
        <v>6474.4099999999989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1"/>
      <c r="B15" s="79" t="s">
        <v>114</v>
      </c>
      <c r="C15" s="28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2"/>
      <c r="P15" s="93">
        <f t="shared" si="3"/>
        <v>0</v>
      </c>
      <c r="Q15" s="82">
        <f t="shared" si="4"/>
        <v>0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1"/>
      <c r="B16" s="79" t="s">
        <v>115</v>
      </c>
      <c r="C16" s="28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2"/>
      <c r="P16" s="93">
        <f t="shared" si="3"/>
        <v>0</v>
      </c>
      <c r="Q16" s="82">
        <f t="shared" si="4"/>
        <v>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1"/>
      <c r="B17" s="79" t="s">
        <v>15</v>
      </c>
      <c r="C17" s="28"/>
      <c r="D17" s="92">
        <v>5</v>
      </c>
      <c r="E17" s="92">
        <v>5</v>
      </c>
      <c r="F17" s="92">
        <v>5</v>
      </c>
      <c r="G17" s="92">
        <v>5</v>
      </c>
      <c r="H17" s="92">
        <v>5</v>
      </c>
      <c r="I17" s="92">
        <v>5</v>
      </c>
      <c r="J17" s="92">
        <v>5</v>
      </c>
      <c r="K17" s="92">
        <v>5</v>
      </c>
      <c r="L17" s="92">
        <v>5</v>
      </c>
      <c r="M17" s="92">
        <v>5</v>
      </c>
      <c r="N17" s="92">
        <v>5</v>
      </c>
      <c r="O17" s="92">
        <v>5</v>
      </c>
      <c r="P17" s="93">
        <f t="shared" si="3"/>
        <v>60</v>
      </c>
      <c r="Q17" s="82">
        <f t="shared" si="4"/>
        <v>60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1"/>
      <c r="B18" s="79" t="s">
        <v>116</v>
      </c>
      <c r="C18" s="28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3">
        <f t="shared" si="3"/>
        <v>0</v>
      </c>
      <c r="Q18" s="82">
        <f t="shared" si="4"/>
        <v>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1"/>
      <c r="B19" s="79" t="s">
        <v>23</v>
      </c>
      <c r="C19" s="28">
        <v>12</v>
      </c>
      <c r="D19" s="92">
        <v>9</v>
      </c>
      <c r="E19" s="92">
        <v>9</v>
      </c>
      <c r="F19" s="92">
        <v>9</v>
      </c>
      <c r="G19" s="92">
        <v>9</v>
      </c>
      <c r="H19" s="92">
        <v>9</v>
      </c>
      <c r="I19" s="92">
        <v>9</v>
      </c>
      <c r="J19" s="92">
        <v>9</v>
      </c>
      <c r="K19" s="92">
        <v>9</v>
      </c>
      <c r="L19" s="92">
        <v>9</v>
      </c>
      <c r="M19" s="92">
        <v>9</v>
      </c>
      <c r="N19" s="92">
        <v>9</v>
      </c>
      <c r="O19" s="92">
        <v>9</v>
      </c>
      <c r="P19" s="93">
        <f t="shared" si="3"/>
        <v>120</v>
      </c>
      <c r="Q19" s="82">
        <f t="shared" si="4"/>
        <v>120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1"/>
      <c r="B20" s="79" t="s">
        <v>117</v>
      </c>
      <c r="C20" s="28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3">
        <f t="shared" si="3"/>
        <v>0</v>
      </c>
      <c r="Q20" s="82">
        <f t="shared" si="4"/>
        <v>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79" t="s">
        <v>118</v>
      </c>
      <c r="C21" s="28"/>
      <c r="D21" s="92">
        <v>23</v>
      </c>
      <c r="E21" s="92">
        <v>46</v>
      </c>
      <c r="F21" s="92">
        <v>23</v>
      </c>
      <c r="G21" s="92">
        <v>23</v>
      </c>
      <c r="H21" s="92">
        <v>46</v>
      </c>
      <c r="I21" s="92">
        <v>23</v>
      </c>
      <c r="J21" s="92">
        <v>23</v>
      </c>
      <c r="K21" s="92">
        <v>46</v>
      </c>
      <c r="L21" s="92">
        <v>23</v>
      </c>
      <c r="M21" s="92">
        <v>23</v>
      </c>
      <c r="N21" s="92">
        <v>23</v>
      </c>
      <c r="O21" s="92">
        <v>46</v>
      </c>
      <c r="P21" s="93">
        <f t="shared" si="3"/>
        <v>368</v>
      </c>
      <c r="Q21" s="82">
        <f t="shared" si="4"/>
        <v>368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79" t="s">
        <v>119</v>
      </c>
      <c r="C22" s="28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3">
        <f t="shared" si="3"/>
        <v>0</v>
      </c>
      <c r="Q22" s="82">
        <f t="shared" si="4"/>
        <v>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79" t="s">
        <v>120</v>
      </c>
      <c r="C23" s="28"/>
      <c r="D23" s="92">
        <v>40</v>
      </c>
      <c r="E23" s="92">
        <v>40</v>
      </c>
      <c r="F23" s="92">
        <v>40</v>
      </c>
      <c r="G23" s="92">
        <v>40</v>
      </c>
      <c r="H23" s="92">
        <v>40</v>
      </c>
      <c r="I23" s="92">
        <v>40</v>
      </c>
      <c r="J23" s="92">
        <v>40</v>
      </c>
      <c r="K23" s="92">
        <v>40</v>
      </c>
      <c r="L23" s="92">
        <v>40</v>
      </c>
      <c r="M23" s="92">
        <v>40</v>
      </c>
      <c r="N23" s="92">
        <v>40</v>
      </c>
      <c r="O23" s="92">
        <v>40</v>
      </c>
      <c r="P23" s="93">
        <f t="shared" si="3"/>
        <v>480</v>
      </c>
      <c r="Q23" s="82">
        <f t="shared" si="4"/>
        <v>480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79" t="s">
        <v>121</v>
      </c>
      <c r="C24" s="28"/>
      <c r="D24" s="92">
        <v>5</v>
      </c>
      <c r="E24" s="92">
        <v>5</v>
      </c>
      <c r="F24" s="92">
        <v>5</v>
      </c>
      <c r="G24" s="92">
        <v>5</v>
      </c>
      <c r="H24" s="92">
        <v>5</v>
      </c>
      <c r="I24" s="92">
        <v>5</v>
      </c>
      <c r="J24" s="92">
        <v>5</v>
      </c>
      <c r="K24" s="92">
        <v>5</v>
      </c>
      <c r="L24" s="92">
        <v>5</v>
      </c>
      <c r="M24" s="92">
        <v>5</v>
      </c>
      <c r="N24" s="92">
        <v>5</v>
      </c>
      <c r="O24" s="92">
        <v>5</v>
      </c>
      <c r="P24" s="93">
        <f t="shared" si="3"/>
        <v>60</v>
      </c>
      <c r="Q24" s="82">
        <f t="shared" si="4"/>
        <v>60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79" t="s">
        <v>122</v>
      </c>
      <c r="C25" s="28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3">
        <f t="shared" si="3"/>
        <v>0</v>
      </c>
      <c r="Q25" s="82">
        <f t="shared" si="4"/>
        <v>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79" t="s">
        <v>123</v>
      </c>
      <c r="C26" s="28"/>
      <c r="D26" s="92">
        <v>58.71</v>
      </c>
      <c r="E26" s="92">
        <v>58.71</v>
      </c>
      <c r="F26" s="92">
        <v>58.71</v>
      </c>
      <c r="G26" s="92">
        <v>58.71</v>
      </c>
      <c r="H26" s="92">
        <v>58.71</v>
      </c>
      <c r="I26" s="92">
        <v>58.71</v>
      </c>
      <c r="J26" s="92">
        <v>58.71</v>
      </c>
      <c r="K26" s="92">
        <v>58.71</v>
      </c>
      <c r="L26" s="92">
        <v>58.71</v>
      </c>
      <c r="M26" s="92">
        <v>58.71</v>
      </c>
      <c r="N26" s="92">
        <v>58.71</v>
      </c>
      <c r="O26" s="92">
        <v>58.71</v>
      </c>
      <c r="P26" s="93">
        <f t="shared" si="3"/>
        <v>704.5200000000001</v>
      </c>
      <c r="Q26" s="82">
        <f t="shared" si="4"/>
        <v>704.5200000000001</v>
      </c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79" t="s">
        <v>124</v>
      </c>
      <c r="C27" s="28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3">
        <f t="shared" si="3"/>
        <v>0</v>
      </c>
      <c r="Q27" s="82">
        <f t="shared" si="4"/>
        <v>0</v>
      </c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79" t="s">
        <v>125</v>
      </c>
      <c r="C28" s="28">
        <v>100</v>
      </c>
      <c r="D28" s="92">
        <v>20</v>
      </c>
      <c r="E28" s="92">
        <v>20</v>
      </c>
      <c r="F28" s="92">
        <v>20</v>
      </c>
      <c r="G28" s="92">
        <v>20</v>
      </c>
      <c r="H28" s="92">
        <v>20</v>
      </c>
      <c r="I28" s="92">
        <v>20</v>
      </c>
      <c r="J28" s="92">
        <v>20</v>
      </c>
      <c r="K28" s="92">
        <v>20</v>
      </c>
      <c r="L28" s="92">
        <v>20</v>
      </c>
      <c r="M28" s="92">
        <v>20</v>
      </c>
      <c r="N28" s="92">
        <v>20</v>
      </c>
      <c r="O28" s="92">
        <v>20</v>
      </c>
      <c r="P28" s="93">
        <f t="shared" si="3"/>
        <v>340</v>
      </c>
      <c r="Q28" s="82">
        <f t="shared" si="4"/>
        <v>340</v>
      </c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79" t="s">
        <v>126</v>
      </c>
      <c r="C29" s="28"/>
      <c r="D29" s="92">
        <v>40</v>
      </c>
      <c r="E29" s="92">
        <v>40</v>
      </c>
      <c r="F29" s="92">
        <v>40</v>
      </c>
      <c r="G29" s="92">
        <v>40</v>
      </c>
      <c r="H29" s="92">
        <v>40</v>
      </c>
      <c r="I29" s="92">
        <v>40</v>
      </c>
      <c r="J29" s="92">
        <v>40</v>
      </c>
      <c r="K29" s="92">
        <v>40</v>
      </c>
      <c r="L29" s="92">
        <v>40</v>
      </c>
      <c r="M29" s="92">
        <v>40</v>
      </c>
      <c r="N29" s="92">
        <v>40</v>
      </c>
      <c r="O29" s="92">
        <v>40</v>
      </c>
      <c r="P29" s="93">
        <f t="shared" si="3"/>
        <v>480</v>
      </c>
      <c r="Q29" s="82">
        <f t="shared" si="4"/>
        <v>480</v>
      </c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79" t="s">
        <v>127</v>
      </c>
      <c r="C30" s="94">
        <v>1000</v>
      </c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3">
        <f t="shared" si="3"/>
        <v>1000</v>
      </c>
      <c r="Q30" s="82">
        <f t="shared" si="4"/>
        <v>1000</v>
      </c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79" t="s">
        <v>128</v>
      </c>
      <c r="C31" s="94">
        <v>1000</v>
      </c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3">
        <f t="shared" si="3"/>
        <v>1000</v>
      </c>
      <c r="Q31" s="82">
        <f t="shared" si="4"/>
        <v>1000</v>
      </c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79"/>
      <c r="C32" s="28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3">
        <f t="shared" si="3"/>
        <v>0</v>
      </c>
      <c r="Q32" s="82">
        <f t="shared" si="4"/>
        <v>0</v>
      </c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79" t="s">
        <v>129</v>
      </c>
      <c r="C33" s="28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3">
        <f t="shared" si="3"/>
        <v>0</v>
      </c>
      <c r="Q33" s="82">
        <f t="shared" si="4"/>
        <v>0</v>
      </c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79" t="s">
        <v>130</v>
      </c>
      <c r="C34" s="28"/>
      <c r="D34" s="92"/>
      <c r="E34" s="92"/>
      <c r="F34" s="92"/>
      <c r="G34" s="92"/>
      <c r="H34" s="92"/>
      <c r="I34" s="92"/>
      <c r="J34" s="92">
        <v>850</v>
      </c>
      <c r="K34" s="92">
        <v>850</v>
      </c>
      <c r="L34" s="92">
        <v>850</v>
      </c>
      <c r="M34" s="92">
        <v>850</v>
      </c>
      <c r="N34" s="92">
        <v>850</v>
      </c>
      <c r="O34" s="92">
        <v>850</v>
      </c>
      <c r="P34" s="93">
        <f t="shared" si="3"/>
        <v>5100</v>
      </c>
      <c r="Q34" s="82">
        <f t="shared" si="4"/>
        <v>5100</v>
      </c>
      <c r="R34" s="95" t="s">
        <v>131</v>
      </c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79" t="s">
        <v>132</v>
      </c>
      <c r="C35" s="28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3">
        <f t="shared" si="3"/>
        <v>0</v>
      </c>
      <c r="Q35" s="86">
        <f t="shared" si="4"/>
        <v>0</v>
      </c>
      <c r="R35" s="95" t="s">
        <v>133</v>
      </c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79" t="s">
        <v>134</v>
      </c>
      <c r="C36" s="28"/>
      <c r="D36" s="92">
        <v>13.22</v>
      </c>
      <c r="E36" s="92">
        <v>13.22</v>
      </c>
      <c r="F36" s="92">
        <v>13.22</v>
      </c>
      <c r="G36" s="92">
        <v>13.22</v>
      </c>
      <c r="H36" s="92">
        <v>13.22</v>
      </c>
      <c r="I36" s="92">
        <v>13.22</v>
      </c>
      <c r="J36" s="92">
        <v>13.22</v>
      </c>
      <c r="K36" s="92">
        <v>13.22</v>
      </c>
      <c r="L36" s="92">
        <v>13.22</v>
      </c>
      <c r="M36" s="92">
        <v>13.22</v>
      </c>
      <c r="N36" s="92">
        <v>13.22</v>
      </c>
      <c r="O36" s="92">
        <v>13.22</v>
      </c>
      <c r="P36" s="93">
        <f t="shared" si="3"/>
        <v>158.64000000000001</v>
      </c>
      <c r="Q36" s="82">
        <f t="shared" si="4"/>
        <v>158.64000000000001</v>
      </c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96" t="s">
        <v>135</v>
      </c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3">
        <f t="shared" si="3"/>
        <v>0</v>
      </c>
      <c r="Q37" s="86">
        <f t="shared" si="4"/>
        <v>0</v>
      </c>
      <c r="R37" s="95" t="s">
        <v>136</v>
      </c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2"/>
      <c r="B38" s="87" t="s">
        <v>137</v>
      </c>
      <c r="C38" s="88">
        <f t="shared" ref="C38:Q38" si="5">SUM(C14:C37)</f>
        <v>2412</v>
      </c>
      <c r="D38" s="89">
        <f t="shared" si="5"/>
        <v>836.93000000000006</v>
      </c>
      <c r="E38" s="89">
        <f t="shared" si="5"/>
        <v>554.07999999999993</v>
      </c>
      <c r="F38" s="89">
        <f t="shared" si="5"/>
        <v>661.48</v>
      </c>
      <c r="G38" s="89">
        <f t="shared" si="5"/>
        <v>687.87000000000012</v>
      </c>
      <c r="H38" s="89">
        <f t="shared" si="5"/>
        <v>741.84000000000015</v>
      </c>
      <c r="I38" s="89">
        <f t="shared" si="5"/>
        <v>749.55000000000007</v>
      </c>
      <c r="J38" s="89">
        <f t="shared" si="5"/>
        <v>1615.6299999999999</v>
      </c>
      <c r="K38" s="89">
        <f t="shared" si="5"/>
        <v>1640.05</v>
      </c>
      <c r="L38" s="89">
        <f t="shared" si="5"/>
        <v>1635.09</v>
      </c>
      <c r="M38" s="89">
        <f t="shared" si="5"/>
        <v>1635.09</v>
      </c>
      <c r="N38" s="89">
        <f t="shared" si="5"/>
        <v>1562.13</v>
      </c>
      <c r="O38" s="89">
        <f t="shared" si="5"/>
        <v>1613.8300000000002</v>
      </c>
      <c r="P38" s="90">
        <f t="shared" si="5"/>
        <v>16345.569999999998</v>
      </c>
      <c r="Q38" s="91">
        <f t="shared" si="5"/>
        <v>16345.569999999998</v>
      </c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"/>
      <c r="B39" s="99" t="s">
        <v>138</v>
      </c>
      <c r="C39" s="76">
        <f t="shared" ref="C39:Q39" si="6">SUM(C13-C38)</f>
        <v>88</v>
      </c>
      <c r="D39" s="76">
        <f t="shared" si="6"/>
        <v>613.06999999999994</v>
      </c>
      <c r="E39" s="76">
        <f t="shared" si="6"/>
        <v>163.42000000000007</v>
      </c>
      <c r="F39" s="76">
        <f t="shared" si="6"/>
        <v>388.52</v>
      </c>
      <c r="G39" s="76">
        <f t="shared" si="6"/>
        <v>319.12999999999988</v>
      </c>
      <c r="H39" s="76">
        <f t="shared" si="6"/>
        <v>363.65999999999985</v>
      </c>
      <c r="I39" s="76">
        <f t="shared" si="6"/>
        <v>418.94999999999993</v>
      </c>
      <c r="J39" s="76">
        <f t="shared" si="6"/>
        <v>-400.62999999999988</v>
      </c>
      <c r="K39" s="76">
        <f t="shared" si="6"/>
        <v>-419.04999999999995</v>
      </c>
      <c r="L39" s="76">
        <f t="shared" si="6"/>
        <v>-349.58999999999992</v>
      </c>
      <c r="M39" s="76">
        <f t="shared" si="6"/>
        <v>-349.58999999999992</v>
      </c>
      <c r="N39" s="76">
        <f t="shared" si="6"/>
        <v>-367.13000000000011</v>
      </c>
      <c r="O39" s="76">
        <f t="shared" si="6"/>
        <v>-338.83000000000015</v>
      </c>
      <c r="P39" s="77">
        <f t="shared" si="6"/>
        <v>129.93000000000211</v>
      </c>
      <c r="Q39" s="78">
        <f t="shared" si="6"/>
        <v>129.93000000000211</v>
      </c>
      <c r="R39" s="1" t="s">
        <v>139</v>
      </c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00" t="s">
        <v>140</v>
      </c>
      <c r="C40" s="101">
        <v>0</v>
      </c>
      <c r="D40" s="92">
        <f>SUM(C41)</f>
        <v>88</v>
      </c>
      <c r="E40" s="92">
        <f t="shared" ref="E40:O40" si="7">D41</f>
        <v>701.06999999999994</v>
      </c>
      <c r="F40" s="92">
        <f t="shared" si="7"/>
        <v>864.49</v>
      </c>
      <c r="G40" s="92">
        <f t="shared" si="7"/>
        <v>1253.01</v>
      </c>
      <c r="H40" s="92">
        <f t="shared" si="7"/>
        <v>1572.1399999999999</v>
      </c>
      <c r="I40" s="92">
        <f t="shared" si="7"/>
        <v>1935.7999999999997</v>
      </c>
      <c r="J40" s="92">
        <f t="shared" si="7"/>
        <v>2354.7499999999995</v>
      </c>
      <c r="K40" s="92">
        <f t="shared" si="7"/>
        <v>1954.1199999999997</v>
      </c>
      <c r="L40" s="92">
        <f t="shared" si="7"/>
        <v>1535.0699999999997</v>
      </c>
      <c r="M40" s="92">
        <f t="shared" si="7"/>
        <v>1185.4799999999998</v>
      </c>
      <c r="N40" s="92">
        <f t="shared" si="7"/>
        <v>835.88999999999987</v>
      </c>
      <c r="O40" s="92">
        <f t="shared" si="7"/>
        <v>468.75999999999976</v>
      </c>
      <c r="P40" s="93"/>
      <c r="Q40" s="86">
        <f>Q36+Q35+Q37+Q34</f>
        <v>5258.64</v>
      </c>
      <c r="R40" s="1" t="s">
        <v>141</v>
      </c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02" t="s">
        <v>142</v>
      </c>
      <c r="C41" s="80">
        <f t="shared" ref="C41:O41" si="8">SUM(C39+C40)</f>
        <v>88</v>
      </c>
      <c r="D41" s="80">
        <f t="shared" si="8"/>
        <v>701.06999999999994</v>
      </c>
      <c r="E41" s="80">
        <f t="shared" si="8"/>
        <v>864.49</v>
      </c>
      <c r="F41" s="80">
        <f t="shared" si="8"/>
        <v>1253.01</v>
      </c>
      <c r="G41" s="80">
        <f t="shared" si="8"/>
        <v>1572.1399999999999</v>
      </c>
      <c r="H41" s="80">
        <f t="shared" si="8"/>
        <v>1935.7999999999997</v>
      </c>
      <c r="I41" s="80">
        <f t="shared" si="8"/>
        <v>2354.7499999999995</v>
      </c>
      <c r="J41" s="80">
        <f t="shared" si="8"/>
        <v>1954.1199999999997</v>
      </c>
      <c r="K41" s="80">
        <f t="shared" si="8"/>
        <v>1535.0699999999997</v>
      </c>
      <c r="L41" s="80">
        <f t="shared" si="8"/>
        <v>1185.4799999999998</v>
      </c>
      <c r="M41" s="80">
        <f t="shared" si="8"/>
        <v>835.88999999999987</v>
      </c>
      <c r="N41" s="80">
        <f t="shared" si="8"/>
        <v>468.75999999999976</v>
      </c>
      <c r="O41" s="80">
        <f t="shared" si="8"/>
        <v>129.92999999999961</v>
      </c>
      <c r="P41" s="81"/>
      <c r="Q41" s="103">
        <f>SUM(Q39:Q40)</f>
        <v>5388.5700000000024</v>
      </c>
      <c r="R41" s="1" t="s">
        <v>143</v>
      </c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04" t="s">
        <v>8</v>
      </c>
      <c r="C43" s="105"/>
      <c r="D43" s="76">
        <f>'Personal Expenditure'!$I38</f>
        <v>839</v>
      </c>
      <c r="E43" s="76">
        <f>'Personal Expenditure'!$I38</f>
        <v>839</v>
      </c>
      <c r="F43" s="76">
        <f>'Personal Expenditure'!$I38</f>
        <v>839</v>
      </c>
      <c r="G43" s="76">
        <f>'Personal Expenditure'!$I38</f>
        <v>839</v>
      </c>
      <c r="H43" s="76">
        <f>'Personal Expenditure'!$I38</f>
        <v>839</v>
      </c>
      <c r="I43" s="76">
        <f>'Personal Expenditure'!$I38</f>
        <v>839</v>
      </c>
      <c r="J43" s="76">
        <f>'Personal Expenditure'!$I38</f>
        <v>839</v>
      </c>
      <c r="K43" s="76">
        <f>'Personal Expenditure'!$I38</f>
        <v>839</v>
      </c>
      <c r="L43" s="76">
        <f>'Personal Expenditure'!$I38</f>
        <v>839</v>
      </c>
      <c r="M43" s="76">
        <f>'Personal Expenditure'!$I38</f>
        <v>839</v>
      </c>
      <c r="N43" s="76">
        <f>'Personal Expenditure'!$I38</f>
        <v>839</v>
      </c>
      <c r="O43" s="77">
        <f>'Personal Expenditure'!$I38</f>
        <v>839</v>
      </c>
      <c r="P43" s="95" t="s">
        <v>144</v>
      </c>
      <c r="Q43" s="95"/>
      <c r="R43" s="95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06" t="s">
        <v>145</v>
      </c>
      <c r="C44" s="107"/>
      <c r="D44" s="92">
        <f>'Personal Expenditure'!$E20</f>
        <v>240</v>
      </c>
      <c r="E44" s="92">
        <f>'Personal Expenditure'!$E20</f>
        <v>240</v>
      </c>
      <c r="F44" s="92">
        <f>'Personal Expenditure'!$E20</f>
        <v>240</v>
      </c>
      <c r="G44" s="92">
        <f>'Personal Expenditure'!$E20</f>
        <v>240</v>
      </c>
      <c r="H44" s="92">
        <f>'Personal Expenditure'!$E20</f>
        <v>240</v>
      </c>
      <c r="I44" s="92">
        <f>'Personal Expenditure'!$E20</f>
        <v>240</v>
      </c>
      <c r="J44" s="92">
        <f>'Personal Expenditure'!$E20</f>
        <v>240</v>
      </c>
      <c r="K44" s="92">
        <f>'Personal Expenditure'!$E20</f>
        <v>240</v>
      </c>
      <c r="L44" s="92">
        <f>'Personal Expenditure'!$E20</f>
        <v>240</v>
      </c>
      <c r="M44" s="92">
        <f>'Personal Expenditure'!$E20</f>
        <v>240</v>
      </c>
      <c r="N44" s="92">
        <f>'Personal Expenditure'!$E20</f>
        <v>240</v>
      </c>
      <c r="O44" s="93">
        <f>'Personal Expenditure'!$E20</f>
        <v>240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06" t="s">
        <v>146</v>
      </c>
      <c r="C45" s="107"/>
      <c r="D45" s="92">
        <f>'Personal Expenditure'!$E25</f>
        <v>1180</v>
      </c>
      <c r="E45" s="92">
        <f>'Personal Expenditure'!$E25</f>
        <v>1180</v>
      </c>
      <c r="F45" s="92">
        <f>'Personal Expenditure'!$E25</f>
        <v>1180</v>
      </c>
      <c r="G45" s="92">
        <f>'Personal Expenditure'!$E25</f>
        <v>1180</v>
      </c>
      <c r="H45" s="92">
        <f>'Personal Expenditure'!$E25</f>
        <v>1180</v>
      </c>
      <c r="I45" s="92">
        <f>'Personal Expenditure'!$E25</f>
        <v>1180</v>
      </c>
      <c r="J45" s="92">
        <f>'Personal Expenditure'!$E25</f>
        <v>1180</v>
      </c>
      <c r="K45" s="92">
        <f>'Personal Expenditure'!$E25</f>
        <v>1180</v>
      </c>
      <c r="L45" s="92">
        <f>'Personal Expenditure'!$E25</f>
        <v>1180</v>
      </c>
      <c r="M45" s="92">
        <f>'Personal Expenditure'!$E25</f>
        <v>1180</v>
      </c>
      <c r="N45" s="92">
        <f>'Personal Expenditure'!$E25</f>
        <v>1180</v>
      </c>
      <c r="O45" s="93">
        <f>'Personal Expenditure'!$E25</f>
        <v>1180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06" t="s">
        <v>147</v>
      </c>
      <c r="C46" s="107"/>
      <c r="D46" s="92">
        <v>281.66000000000003</v>
      </c>
      <c r="E46" s="92">
        <v>281.66000000000003</v>
      </c>
      <c r="F46" s="92">
        <v>281.66000000000003</v>
      </c>
      <c r="G46" s="92">
        <v>143</v>
      </c>
      <c r="H46" s="92">
        <v>143</v>
      </c>
      <c r="I46" s="92">
        <v>143</v>
      </c>
      <c r="J46" s="92"/>
      <c r="K46" s="92"/>
      <c r="L46" s="92"/>
      <c r="M46" s="92"/>
      <c r="N46" s="92"/>
      <c r="O46" s="93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08" t="s">
        <v>148</v>
      </c>
      <c r="C47" s="109"/>
      <c r="D47" s="110">
        <f t="shared" ref="D47:O47" si="9">SUM(D43-D44-D45-D46)</f>
        <v>-862.66000000000008</v>
      </c>
      <c r="E47" s="110">
        <f t="shared" si="9"/>
        <v>-862.66000000000008</v>
      </c>
      <c r="F47" s="110">
        <f t="shared" si="9"/>
        <v>-862.66000000000008</v>
      </c>
      <c r="G47" s="110">
        <f t="shared" si="9"/>
        <v>-724</v>
      </c>
      <c r="H47" s="110">
        <f t="shared" si="9"/>
        <v>-724</v>
      </c>
      <c r="I47" s="110">
        <f t="shared" si="9"/>
        <v>-724</v>
      </c>
      <c r="J47" s="110">
        <f t="shared" si="9"/>
        <v>-581</v>
      </c>
      <c r="K47" s="110">
        <f t="shared" si="9"/>
        <v>-581</v>
      </c>
      <c r="L47" s="110">
        <f t="shared" si="9"/>
        <v>-581</v>
      </c>
      <c r="M47" s="110">
        <f t="shared" si="9"/>
        <v>-581</v>
      </c>
      <c r="N47" s="110">
        <f t="shared" si="9"/>
        <v>-581</v>
      </c>
      <c r="O47" s="111">
        <f t="shared" si="9"/>
        <v>-581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2:B4"/>
    <mergeCell ref="G2:K2"/>
    <mergeCell ref="G4:K4"/>
    <mergeCell ref="G6:K6"/>
  </mergeCells>
  <pageMargins left="0.7" right="0.7" top="0.75" bottom="0.75" header="0" footer="0"/>
  <pageSetup paperSize="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workbookViewId="0"/>
  </sheetViews>
  <sheetFormatPr defaultColWidth="12.6640625" defaultRowHeight="15" customHeight="1" x14ac:dyDescent="0.3"/>
  <cols>
    <col min="1" max="1" width="4.4140625" customWidth="1"/>
    <col min="2" max="2" width="21.4140625" customWidth="1"/>
    <col min="3" max="14" width="13.4140625" customWidth="1"/>
    <col min="15" max="16" width="14.75" customWidth="1"/>
    <col min="17" max="26" width="7.75" customWidth="1"/>
  </cols>
  <sheetData>
    <row r="1" spans="1:26" ht="15.5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customHeight="1" x14ac:dyDescent="0.35">
      <c r="A2" s="1"/>
      <c r="B2" s="127" t="s">
        <v>105</v>
      </c>
      <c r="C2" s="1"/>
      <c r="D2" s="2" t="s">
        <v>1</v>
      </c>
      <c r="E2" s="1"/>
      <c r="F2" s="115" t="str">
        <f>'Personal Expenditure'!D4</f>
        <v>tracie walker</v>
      </c>
      <c r="G2" s="116"/>
      <c r="H2" s="116"/>
      <c r="I2" s="116"/>
      <c r="J2" s="116"/>
      <c r="K2" s="1"/>
      <c r="L2" s="1"/>
      <c r="M2" s="1"/>
      <c r="N2" s="1"/>
      <c r="O2" s="1"/>
      <c r="P2" s="65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5" x14ac:dyDescent="0.35">
      <c r="A3" s="1"/>
      <c r="B3" s="114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5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customHeight="1" x14ac:dyDescent="0.35">
      <c r="A4" s="1"/>
      <c r="B4" s="114"/>
      <c r="C4" s="1"/>
      <c r="D4" s="2" t="s">
        <v>3</v>
      </c>
      <c r="E4" s="1"/>
      <c r="F4" s="115" t="str">
        <f>'Personal Expenditure'!D6</f>
        <v>conscious candles n mindful melts</v>
      </c>
      <c r="G4" s="116"/>
      <c r="H4" s="116"/>
      <c r="I4" s="116"/>
      <c r="J4" s="116"/>
      <c r="K4" s="1"/>
      <c r="L4" s="1"/>
      <c r="M4" s="1"/>
      <c r="N4" s="1"/>
      <c r="O4" s="1"/>
      <c r="P4" s="65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5" x14ac:dyDescent="0.35">
      <c r="A5" s="1"/>
      <c r="B5" s="129" t="s">
        <v>92</v>
      </c>
      <c r="C5" s="1"/>
      <c r="D5" s="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35">
      <c r="A6" s="1"/>
      <c r="B6" s="114"/>
      <c r="C6" s="1"/>
      <c r="D6" s="2" t="s">
        <v>5</v>
      </c>
      <c r="E6" s="1"/>
      <c r="F6" s="117">
        <f>'Personal Expenditure'!D8</f>
        <v>44520</v>
      </c>
      <c r="G6" s="116"/>
      <c r="H6" s="116"/>
      <c r="I6" s="116"/>
      <c r="J6" s="116"/>
      <c r="K6" s="1"/>
      <c r="L6" s="1"/>
      <c r="M6" s="1"/>
      <c r="N6" s="1"/>
      <c r="O6" s="1"/>
      <c r="P6" s="65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 customHeight="1" x14ac:dyDescent="0.35">
      <c r="A7" s="1"/>
      <c r="B7" s="1"/>
      <c r="C7" s="1"/>
      <c r="D7" s="2"/>
      <c r="E7" s="1"/>
      <c r="F7" s="67"/>
      <c r="G7" s="67"/>
      <c r="H7" s="67"/>
      <c r="I7" s="67"/>
      <c r="J7" s="67"/>
      <c r="K7" s="1"/>
      <c r="L7" s="1"/>
      <c r="M7" s="1"/>
      <c r="N7" s="1"/>
      <c r="O7" s="1"/>
      <c r="P7" s="65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5" x14ac:dyDescent="0.35">
      <c r="A8" s="1"/>
      <c r="B8" s="2" t="s">
        <v>91</v>
      </c>
      <c r="C8" s="68" t="str">
        <f>'Sales Forecast'!E9</f>
        <v>Dec</v>
      </c>
      <c r="D8" s="68" t="str">
        <f>'Sales Forecast'!F9</f>
        <v>Jan</v>
      </c>
      <c r="E8" s="68" t="str">
        <f>'Sales Forecast'!G9</f>
        <v>Feb</v>
      </c>
      <c r="F8" s="68" t="str">
        <f>'Sales Forecast'!H9</f>
        <v>Mar</v>
      </c>
      <c r="G8" s="68" t="str">
        <f>'Sales Forecast'!I9</f>
        <v>Apr</v>
      </c>
      <c r="H8" s="68" t="str">
        <f>'Sales Forecast'!J9</f>
        <v>May</v>
      </c>
      <c r="I8" s="68" t="str">
        <f>'Sales Forecast'!K9</f>
        <v>Jun</v>
      </c>
      <c r="J8" s="68" t="str">
        <f>'Sales Forecast'!L9</f>
        <v>Jul</v>
      </c>
      <c r="K8" s="68" t="str">
        <f>'Sales Forecast'!M9</f>
        <v>Aug</v>
      </c>
      <c r="L8" s="68" t="str">
        <f>'Sales Forecast'!N9</f>
        <v>Sep</v>
      </c>
      <c r="M8" s="68" t="str">
        <f>'Sales Forecast'!O9</f>
        <v>Oct</v>
      </c>
      <c r="N8" s="68" t="str">
        <f>'Sales Forecast'!P9</f>
        <v>Nov</v>
      </c>
      <c r="O8" s="69"/>
      <c r="P8" s="70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 x14ac:dyDescent="0.35">
      <c r="A9" s="1"/>
      <c r="B9" s="1"/>
      <c r="C9" s="112" t="s">
        <v>93</v>
      </c>
      <c r="D9" s="72" t="s">
        <v>94</v>
      </c>
      <c r="E9" s="72" t="s">
        <v>95</v>
      </c>
      <c r="F9" s="72" t="s">
        <v>96</v>
      </c>
      <c r="G9" s="72" t="s">
        <v>97</v>
      </c>
      <c r="H9" s="72" t="s">
        <v>98</v>
      </c>
      <c r="I9" s="72" t="s">
        <v>99</v>
      </c>
      <c r="J9" s="72" t="s">
        <v>100</v>
      </c>
      <c r="K9" s="72" t="s">
        <v>101</v>
      </c>
      <c r="L9" s="72" t="s">
        <v>102</v>
      </c>
      <c r="M9" s="72" t="s">
        <v>103</v>
      </c>
      <c r="N9" s="72" t="s">
        <v>104</v>
      </c>
      <c r="O9" s="73" t="s">
        <v>108</v>
      </c>
      <c r="P9" s="26" t="s">
        <v>109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5" x14ac:dyDescent="0.35">
      <c r="A10" s="1"/>
      <c r="B10" s="74" t="s">
        <v>110</v>
      </c>
      <c r="C10" s="76">
        <f>'Sales Forecast'!E40</f>
        <v>0</v>
      </c>
      <c r="D10" s="76">
        <f>'Sales Forecast'!F40</f>
        <v>0</v>
      </c>
      <c r="E10" s="76">
        <f>'Sales Forecast'!G40</f>
        <v>0</v>
      </c>
      <c r="F10" s="76">
        <f>'Sales Forecast'!H40</f>
        <v>0</v>
      </c>
      <c r="G10" s="76">
        <f>'Sales Forecast'!I40</f>
        <v>0</v>
      </c>
      <c r="H10" s="76">
        <f>'Sales Forecast'!J40</f>
        <v>0</v>
      </c>
      <c r="I10" s="76">
        <f>'Sales Forecast'!K40</f>
        <v>0</v>
      </c>
      <c r="J10" s="76">
        <f>'Sales Forecast'!L40</f>
        <v>0</v>
      </c>
      <c r="K10" s="76">
        <f>'Sales Forecast'!M40</f>
        <v>0</v>
      </c>
      <c r="L10" s="76">
        <f>'Sales Forecast'!N40</f>
        <v>0</v>
      </c>
      <c r="M10" s="76">
        <f>'Sales Forecast'!O40</f>
        <v>0</v>
      </c>
      <c r="N10" s="76">
        <f>'Sales Forecast'!P40</f>
        <v>0</v>
      </c>
      <c r="O10" s="77">
        <f t="shared" ref="O10:O12" si="0">SUM(C10:N10)</f>
        <v>0</v>
      </c>
      <c r="P10" s="78">
        <f t="shared" ref="P10:P12" si="1">O10</f>
        <v>0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5" x14ac:dyDescent="0.35">
      <c r="A11" s="1"/>
      <c r="B11" s="79" t="s">
        <v>111</v>
      </c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>
        <f t="shared" si="0"/>
        <v>0</v>
      </c>
      <c r="P11" s="82">
        <f t="shared" si="1"/>
        <v>0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5" x14ac:dyDescent="0.35">
      <c r="A12" s="1"/>
      <c r="B12" s="79" t="s">
        <v>112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5">
        <f t="shared" si="0"/>
        <v>0</v>
      </c>
      <c r="P12" s="86">
        <f t="shared" si="1"/>
        <v>0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5" x14ac:dyDescent="0.35">
      <c r="A13" s="2"/>
      <c r="B13" s="87" t="s">
        <v>113</v>
      </c>
      <c r="C13" s="89">
        <f t="shared" ref="C13:P13" si="2">SUM(C10:C12)</f>
        <v>0</v>
      </c>
      <c r="D13" s="89">
        <f t="shared" si="2"/>
        <v>0</v>
      </c>
      <c r="E13" s="89">
        <f t="shared" si="2"/>
        <v>0</v>
      </c>
      <c r="F13" s="89">
        <f t="shared" si="2"/>
        <v>0</v>
      </c>
      <c r="G13" s="89">
        <f t="shared" si="2"/>
        <v>0</v>
      </c>
      <c r="H13" s="89">
        <f t="shared" si="2"/>
        <v>0</v>
      </c>
      <c r="I13" s="89">
        <f t="shared" si="2"/>
        <v>0</v>
      </c>
      <c r="J13" s="89">
        <f t="shared" si="2"/>
        <v>0</v>
      </c>
      <c r="K13" s="89">
        <f t="shared" si="2"/>
        <v>0</v>
      </c>
      <c r="L13" s="89">
        <f t="shared" si="2"/>
        <v>0</v>
      </c>
      <c r="M13" s="89">
        <f t="shared" si="2"/>
        <v>0</v>
      </c>
      <c r="N13" s="89">
        <f t="shared" si="2"/>
        <v>0</v>
      </c>
      <c r="O13" s="90">
        <f t="shared" si="2"/>
        <v>0</v>
      </c>
      <c r="P13" s="91">
        <f t="shared" si="2"/>
        <v>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5" x14ac:dyDescent="0.35">
      <c r="A14" s="1"/>
      <c r="B14" s="79" t="s">
        <v>64</v>
      </c>
      <c r="C14" s="92">
        <f>'Sales Forecast'!E41</f>
        <v>0</v>
      </c>
      <c r="D14" s="92">
        <f>'Sales Forecast'!F41</f>
        <v>0</v>
      </c>
      <c r="E14" s="92">
        <f>'Sales Forecast'!G41</f>
        <v>0</v>
      </c>
      <c r="F14" s="92">
        <f>'Sales Forecast'!H41</f>
        <v>0</v>
      </c>
      <c r="G14" s="92">
        <f>'Sales Forecast'!I41</f>
        <v>0</v>
      </c>
      <c r="H14" s="92">
        <f>'Sales Forecast'!J41</f>
        <v>0</v>
      </c>
      <c r="I14" s="92">
        <f>'Sales Forecast'!K41</f>
        <v>0</v>
      </c>
      <c r="J14" s="92">
        <f>'Sales Forecast'!L41</f>
        <v>0</v>
      </c>
      <c r="K14" s="92">
        <f>'Sales Forecast'!M41</f>
        <v>0</v>
      </c>
      <c r="L14" s="92">
        <f>'Sales Forecast'!N41</f>
        <v>0</v>
      </c>
      <c r="M14" s="92">
        <f>'Sales Forecast'!O41</f>
        <v>0</v>
      </c>
      <c r="N14" s="92">
        <f>'Sales Forecast'!P41</f>
        <v>0</v>
      </c>
      <c r="O14" s="93">
        <f t="shared" ref="O14:O37" si="3">+SUM(C14:N14)</f>
        <v>0</v>
      </c>
      <c r="P14" s="78">
        <f t="shared" ref="P14:P37" si="4">O14</f>
        <v>0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5" x14ac:dyDescent="0.35">
      <c r="A15" s="1"/>
      <c r="B15" s="79" t="s">
        <v>114</v>
      </c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2"/>
      <c r="O15" s="93">
        <f t="shared" si="3"/>
        <v>0</v>
      </c>
      <c r="P15" s="82">
        <f t="shared" si="4"/>
        <v>0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5" x14ac:dyDescent="0.35">
      <c r="A16" s="1"/>
      <c r="B16" s="79" t="s">
        <v>115</v>
      </c>
      <c r="C16" s="92"/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3">
        <f t="shared" si="3"/>
        <v>0</v>
      </c>
      <c r="P16" s="82">
        <f t="shared" si="4"/>
        <v>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5" x14ac:dyDescent="0.35">
      <c r="A17" s="1"/>
      <c r="B17" s="79" t="s">
        <v>15</v>
      </c>
      <c r="C17" s="92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3">
        <f t="shared" si="3"/>
        <v>0</v>
      </c>
      <c r="P17" s="82">
        <f t="shared" si="4"/>
        <v>0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5" x14ac:dyDescent="0.35">
      <c r="A18" s="1"/>
      <c r="B18" s="79" t="s">
        <v>116</v>
      </c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3">
        <f t="shared" si="3"/>
        <v>0</v>
      </c>
      <c r="P18" s="82">
        <f t="shared" si="4"/>
        <v>0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5" x14ac:dyDescent="0.35">
      <c r="A19" s="1"/>
      <c r="B19" s="79" t="s">
        <v>23</v>
      </c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3">
        <f t="shared" si="3"/>
        <v>0</v>
      </c>
      <c r="P19" s="82">
        <f t="shared" si="4"/>
        <v>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5" x14ac:dyDescent="0.35">
      <c r="A20" s="1"/>
      <c r="B20" s="79" t="s">
        <v>117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3">
        <f t="shared" si="3"/>
        <v>0</v>
      </c>
      <c r="P20" s="82">
        <f t="shared" si="4"/>
        <v>0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1"/>
      <c r="B21" s="79" t="s">
        <v>118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3">
        <f t="shared" si="3"/>
        <v>0</v>
      </c>
      <c r="P21" s="82">
        <f t="shared" si="4"/>
        <v>0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1"/>
      <c r="B22" s="79" t="s">
        <v>119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3">
        <f t="shared" si="3"/>
        <v>0</v>
      </c>
      <c r="P22" s="82">
        <f t="shared" si="4"/>
        <v>0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1"/>
      <c r="B23" s="79" t="s">
        <v>120</v>
      </c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3">
        <f t="shared" si="3"/>
        <v>0</v>
      </c>
      <c r="P23" s="82">
        <f t="shared" si="4"/>
        <v>0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1"/>
      <c r="B24" s="79" t="s">
        <v>121</v>
      </c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3">
        <f t="shared" si="3"/>
        <v>0</v>
      </c>
      <c r="P24" s="82">
        <f t="shared" si="4"/>
        <v>0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1"/>
      <c r="B25" s="79" t="s">
        <v>122</v>
      </c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3">
        <f t="shared" si="3"/>
        <v>0</v>
      </c>
      <c r="P25" s="82">
        <f t="shared" si="4"/>
        <v>0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1"/>
      <c r="B26" s="79" t="s">
        <v>123</v>
      </c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3">
        <f t="shared" si="3"/>
        <v>0</v>
      </c>
      <c r="P26" s="82">
        <f t="shared" si="4"/>
        <v>0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1"/>
      <c r="B27" s="79" t="s">
        <v>124</v>
      </c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3">
        <f t="shared" si="3"/>
        <v>0</v>
      </c>
      <c r="P27" s="82">
        <f t="shared" si="4"/>
        <v>0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1"/>
      <c r="B28" s="79" t="s">
        <v>125</v>
      </c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3">
        <f t="shared" si="3"/>
        <v>0</v>
      </c>
      <c r="P28" s="82">
        <f t="shared" si="4"/>
        <v>0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1"/>
      <c r="B29" s="79" t="s">
        <v>126</v>
      </c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3">
        <f t="shared" si="3"/>
        <v>0</v>
      </c>
      <c r="P29" s="82">
        <f t="shared" si="4"/>
        <v>0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1"/>
      <c r="B30" s="79" t="s">
        <v>149</v>
      </c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3">
        <f t="shared" si="3"/>
        <v>0</v>
      </c>
      <c r="P30" s="82">
        <f t="shared" si="4"/>
        <v>0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1"/>
      <c r="B31" s="79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3">
        <f t="shared" si="3"/>
        <v>0</v>
      </c>
      <c r="P31" s="82">
        <f t="shared" si="4"/>
        <v>0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1"/>
      <c r="B32" s="79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3">
        <f t="shared" si="3"/>
        <v>0</v>
      </c>
      <c r="P32" s="82">
        <f t="shared" si="4"/>
        <v>0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1"/>
      <c r="B33" s="79" t="s">
        <v>129</v>
      </c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3">
        <f t="shared" si="3"/>
        <v>0</v>
      </c>
      <c r="P33" s="82">
        <f t="shared" si="4"/>
        <v>0</v>
      </c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79" t="s">
        <v>130</v>
      </c>
      <c r="C34" s="92">
        <f t="shared" ref="C34:N34" si="5">C46</f>
        <v>-581</v>
      </c>
      <c r="D34" s="92">
        <f t="shared" si="5"/>
        <v>-581</v>
      </c>
      <c r="E34" s="92">
        <f t="shared" si="5"/>
        <v>-581</v>
      </c>
      <c r="F34" s="92">
        <f t="shared" si="5"/>
        <v>-581</v>
      </c>
      <c r="G34" s="92">
        <f t="shared" si="5"/>
        <v>-581</v>
      </c>
      <c r="H34" s="92">
        <f t="shared" si="5"/>
        <v>-581</v>
      </c>
      <c r="I34" s="92">
        <f t="shared" si="5"/>
        <v>-581</v>
      </c>
      <c r="J34" s="92">
        <f t="shared" si="5"/>
        <v>-581</v>
      </c>
      <c r="K34" s="92">
        <f t="shared" si="5"/>
        <v>-581</v>
      </c>
      <c r="L34" s="92">
        <f t="shared" si="5"/>
        <v>-581</v>
      </c>
      <c r="M34" s="92">
        <f t="shared" si="5"/>
        <v>-581</v>
      </c>
      <c r="N34" s="92">
        <f t="shared" si="5"/>
        <v>-581</v>
      </c>
      <c r="O34" s="93">
        <f t="shared" si="3"/>
        <v>-6972</v>
      </c>
      <c r="P34" s="82">
        <f t="shared" si="4"/>
        <v>-6972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79" t="s">
        <v>132</v>
      </c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3">
        <f t="shared" si="3"/>
        <v>0</v>
      </c>
      <c r="P35" s="82">
        <f t="shared" si="4"/>
        <v>0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79" t="s">
        <v>134</v>
      </c>
      <c r="C36" s="92">
        <v>12.35</v>
      </c>
      <c r="D36" s="92">
        <v>12.35</v>
      </c>
      <c r="E36" s="92">
        <v>12.35</v>
      </c>
      <c r="F36" s="92">
        <v>12.35</v>
      </c>
      <c r="G36" s="92">
        <v>12.35</v>
      </c>
      <c r="H36" s="92">
        <v>12.35</v>
      </c>
      <c r="I36" s="92">
        <v>12.35</v>
      </c>
      <c r="J36" s="92">
        <v>12.35</v>
      </c>
      <c r="K36" s="92">
        <v>12.35</v>
      </c>
      <c r="L36" s="92">
        <v>12.35</v>
      </c>
      <c r="M36" s="92">
        <v>12.35</v>
      </c>
      <c r="N36" s="92">
        <v>12.35</v>
      </c>
      <c r="O36" s="93">
        <f t="shared" si="3"/>
        <v>148.19999999999996</v>
      </c>
      <c r="P36" s="82">
        <f t="shared" si="4"/>
        <v>148.19999999999996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96" t="s">
        <v>135</v>
      </c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3">
        <f t="shared" si="3"/>
        <v>0</v>
      </c>
      <c r="P37" s="86">
        <f t="shared" si="4"/>
        <v>0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2"/>
      <c r="B38" s="87" t="s">
        <v>137</v>
      </c>
      <c r="C38" s="89">
        <f t="shared" ref="C38:P38" si="6">SUM(C14:C37)</f>
        <v>-568.65</v>
      </c>
      <c r="D38" s="89">
        <f t="shared" si="6"/>
        <v>-568.65</v>
      </c>
      <c r="E38" s="89">
        <f t="shared" si="6"/>
        <v>-568.65</v>
      </c>
      <c r="F38" s="89">
        <f t="shared" si="6"/>
        <v>-568.65</v>
      </c>
      <c r="G38" s="89">
        <f t="shared" si="6"/>
        <v>-568.65</v>
      </c>
      <c r="H38" s="89">
        <f t="shared" si="6"/>
        <v>-568.65</v>
      </c>
      <c r="I38" s="89">
        <f t="shared" si="6"/>
        <v>-568.65</v>
      </c>
      <c r="J38" s="89">
        <f t="shared" si="6"/>
        <v>-568.65</v>
      </c>
      <c r="K38" s="89">
        <f t="shared" si="6"/>
        <v>-568.65</v>
      </c>
      <c r="L38" s="89">
        <f t="shared" si="6"/>
        <v>-568.65</v>
      </c>
      <c r="M38" s="89">
        <f t="shared" si="6"/>
        <v>-568.65</v>
      </c>
      <c r="N38" s="89">
        <f t="shared" si="6"/>
        <v>-568.65</v>
      </c>
      <c r="O38" s="90">
        <f t="shared" si="6"/>
        <v>-6823.8</v>
      </c>
      <c r="P38" s="91">
        <f t="shared" si="6"/>
        <v>-6823.8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"/>
      <c r="B39" s="99" t="s">
        <v>138</v>
      </c>
      <c r="C39" s="76">
        <f t="shared" ref="C39:P39" si="7">SUM(C13-C38)</f>
        <v>568.65</v>
      </c>
      <c r="D39" s="76">
        <f t="shared" si="7"/>
        <v>568.65</v>
      </c>
      <c r="E39" s="76">
        <f t="shared" si="7"/>
        <v>568.65</v>
      </c>
      <c r="F39" s="76">
        <f t="shared" si="7"/>
        <v>568.65</v>
      </c>
      <c r="G39" s="76">
        <f t="shared" si="7"/>
        <v>568.65</v>
      </c>
      <c r="H39" s="76">
        <f t="shared" si="7"/>
        <v>568.65</v>
      </c>
      <c r="I39" s="76">
        <f t="shared" si="7"/>
        <v>568.65</v>
      </c>
      <c r="J39" s="76">
        <f t="shared" si="7"/>
        <v>568.65</v>
      </c>
      <c r="K39" s="76">
        <f t="shared" si="7"/>
        <v>568.65</v>
      </c>
      <c r="L39" s="76">
        <f t="shared" si="7"/>
        <v>568.65</v>
      </c>
      <c r="M39" s="76">
        <f t="shared" si="7"/>
        <v>568.65</v>
      </c>
      <c r="N39" s="76">
        <f t="shared" si="7"/>
        <v>568.65</v>
      </c>
      <c r="O39" s="77">
        <f t="shared" si="7"/>
        <v>6823.8</v>
      </c>
      <c r="P39" s="78">
        <f t="shared" si="7"/>
        <v>6823.8</v>
      </c>
      <c r="Q39" s="1" t="s">
        <v>139</v>
      </c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00" t="s">
        <v>140</v>
      </c>
      <c r="C40" s="92">
        <v>0</v>
      </c>
      <c r="D40" s="92">
        <f t="shared" ref="D40:N40" si="8">C41</f>
        <v>568.65</v>
      </c>
      <c r="E40" s="92">
        <f t="shared" si="8"/>
        <v>1137.3</v>
      </c>
      <c r="F40" s="92">
        <f t="shared" si="8"/>
        <v>1705.9499999999998</v>
      </c>
      <c r="G40" s="92">
        <f t="shared" si="8"/>
        <v>2274.6</v>
      </c>
      <c r="H40" s="92">
        <f t="shared" si="8"/>
        <v>2843.25</v>
      </c>
      <c r="I40" s="92">
        <f t="shared" si="8"/>
        <v>3411.9</v>
      </c>
      <c r="J40" s="92">
        <f t="shared" si="8"/>
        <v>3980.55</v>
      </c>
      <c r="K40" s="92">
        <f t="shared" si="8"/>
        <v>4549.2</v>
      </c>
      <c r="L40" s="92">
        <f t="shared" si="8"/>
        <v>5117.8499999999995</v>
      </c>
      <c r="M40" s="92">
        <f t="shared" si="8"/>
        <v>5686.4999999999991</v>
      </c>
      <c r="N40" s="92">
        <f t="shared" si="8"/>
        <v>6255.1499999999987</v>
      </c>
      <c r="O40" s="93"/>
      <c r="P40" s="86">
        <f>P36+P35+P37+P34</f>
        <v>-6823.8</v>
      </c>
      <c r="Q40" s="1" t="s">
        <v>141</v>
      </c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02" t="s">
        <v>142</v>
      </c>
      <c r="C41" s="80">
        <f t="shared" ref="C41:N41" si="9">SUM(C39+C40)</f>
        <v>568.65</v>
      </c>
      <c r="D41" s="80">
        <f t="shared" si="9"/>
        <v>1137.3</v>
      </c>
      <c r="E41" s="80">
        <f t="shared" si="9"/>
        <v>1705.9499999999998</v>
      </c>
      <c r="F41" s="80">
        <f t="shared" si="9"/>
        <v>2274.6</v>
      </c>
      <c r="G41" s="80">
        <f t="shared" si="9"/>
        <v>2843.25</v>
      </c>
      <c r="H41" s="80">
        <f t="shared" si="9"/>
        <v>3411.9</v>
      </c>
      <c r="I41" s="80">
        <f t="shared" si="9"/>
        <v>3980.55</v>
      </c>
      <c r="J41" s="80">
        <f t="shared" si="9"/>
        <v>4549.2</v>
      </c>
      <c r="K41" s="80">
        <f t="shared" si="9"/>
        <v>5117.8499999999995</v>
      </c>
      <c r="L41" s="80">
        <f t="shared" si="9"/>
        <v>5686.4999999999991</v>
      </c>
      <c r="M41" s="80">
        <f t="shared" si="9"/>
        <v>6255.1499999999987</v>
      </c>
      <c r="N41" s="80">
        <f t="shared" si="9"/>
        <v>6823.7999999999984</v>
      </c>
      <c r="O41" s="81"/>
      <c r="P41" s="103">
        <f>SUM(P39:P40)</f>
        <v>0</v>
      </c>
      <c r="Q41" s="1" t="s">
        <v>143</v>
      </c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04" t="s">
        <v>8</v>
      </c>
      <c r="C43" s="76">
        <f>'Personal Expenditure'!$I38</f>
        <v>839</v>
      </c>
      <c r="D43" s="76">
        <f>'Personal Expenditure'!$I38</f>
        <v>839</v>
      </c>
      <c r="E43" s="76">
        <f>'Personal Expenditure'!$I38</f>
        <v>839</v>
      </c>
      <c r="F43" s="76">
        <f>'Personal Expenditure'!$I38</f>
        <v>839</v>
      </c>
      <c r="G43" s="76">
        <f>'Personal Expenditure'!$I38</f>
        <v>839</v>
      </c>
      <c r="H43" s="76">
        <f>'Personal Expenditure'!$I38</f>
        <v>839</v>
      </c>
      <c r="I43" s="76">
        <f>'Personal Expenditure'!$I38</f>
        <v>839</v>
      </c>
      <c r="J43" s="76">
        <f>'Personal Expenditure'!$I38</f>
        <v>839</v>
      </c>
      <c r="K43" s="76">
        <f>'Personal Expenditure'!$I38</f>
        <v>839</v>
      </c>
      <c r="L43" s="76">
        <f>'Personal Expenditure'!$I38</f>
        <v>839</v>
      </c>
      <c r="M43" s="76">
        <f>'Personal Expenditure'!$I38</f>
        <v>839</v>
      </c>
      <c r="N43" s="77">
        <f>'Personal Expenditure'!$I38</f>
        <v>839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06" t="s">
        <v>145</v>
      </c>
      <c r="C44" s="92">
        <f>'Personal Expenditure'!$E20</f>
        <v>240</v>
      </c>
      <c r="D44" s="92">
        <f>'Personal Expenditure'!$E20</f>
        <v>240</v>
      </c>
      <c r="E44" s="92">
        <f>'Personal Expenditure'!$E20</f>
        <v>240</v>
      </c>
      <c r="F44" s="92">
        <f>'Personal Expenditure'!$E20</f>
        <v>240</v>
      </c>
      <c r="G44" s="92">
        <f>'Personal Expenditure'!$E20</f>
        <v>240</v>
      </c>
      <c r="H44" s="92">
        <f>'Personal Expenditure'!$E20</f>
        <v>240</v>
      </c>
      <c r="I44" s="92">
        <f>'Personal Expenditure'!$E20</f>
        <v>240</v>
      </c>
      <c r="J44" s="92">
        <f>'Personal Expenditure'!$E20</f>
        <v>240</v>
      </c>
      <c r="K44" s="92">
        <f>'Personal Expenditure'!$E20</f>
        <v>240</v>
      </c>
      <c r="L44" s="92">
        <f>'Personal Expenditure'!$E20</f>
        <v>240</v>
      </c>
      <c r="M44" s="92">
        <f>'Personal Expenditure'!$E20</f>
        <v>240</v>
      </c>
      <c r="N44" s="93">
        <f>'Personal Expenditure'!$E20</f>
        <v>240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06" t="s">
        <v>146</v>
      </c>
      <c r="C45" s="92">
        <f>'Personal Expenditure'!$E25</f>
        <v>1180</v>
      </c>
      <c r="D45" s="92">
        <f>'Personal Expenditure'!$E25</f>
        <v>1180</v>
      </c>
      <c r="E45" s="92">
        <f>'Personal Expenditure'!$E25</f>
        <v>1180</v>
      </c>
      <c r="F45" s="92">
        <f>'Personal Expenditure'!$E25</f>
        <v>1180</v>
      </c>
      <c r="G45" s="92">
        <f>'Personal Expenditure'!$E25</f>
        <v>1180</v>
      </c>
      <c r="H45" s="92">
        <f>'Personal Expenditure'!$E25</f>
        <v>1180</v>
      </c>
      <c r="I45" s="92">
        <f>'Personal Expenditure'!$E25</f>
        <v>1180</v>
      </c>
      <c r="J45" s="92">
        <f>'Personal Expenditure'!$E25</f>
        <v>1180</v>
      </c>
      <c r="K45" s="92">
        <f>'Personal Expenditure'!$E25</f>
        <v>1180</v>
      </c>
      <c r="L45" s="92">
        <f>'Personal Expenditure'!$E25</f>
        <v>1180</v>
      </c>
      <c r="M45" s="92">
        <f>'Personal Expenditure'!$E25</f>
        <v>1180</v>
      </c>
      <c r="N45" s="93">
        <f>'Personal Expenditure'!$E25</f>
        <v>1180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08" t="s">
        <v>148</v>
      </c>
      <c r="C46" s="110">
        <f t="shared" ref="C46:N46" si="10">SUM(C43-C44-C45)</f>
        <v>-581</v>
      </c>
      <c r="D46" s="110">
        <f t="shared" si="10"/>
        <v>-581</v>
      </c>
      <c r="E46" s="110">
        <f t="shared" si="10"/>
        <v>-581</v>
      </c>
      <c r="F46" s="110">
        <f t="shared" si="10"/>
        <v>-581</v>
      </c>
      <c r="G46" s="110">
        <f t="shared" si="10"/>
        <v>-581</v>
      </c>
      <c r="H46" s="110">
        <f t="shared" si="10"/>
        <v>-581</v>
      </c>
      <c r="I46" s="110">
        <f t="shared" si="10"/>
        <v>-581</v>
      </c>
      <c r="J46" s="110">
        <f t="shared" si="10"/>
        <v>-581</v>
      </c>
      <c r="K46" s="110">
        <f t="shared" si="10"/>
        <v>-581</v>
      </c>
      <c r="L46" s="110">
        <f t="shared" si="10"/>
        <v>-581</v>
      </c>
      <c r="M46" s="110">
        <f t="shared" si="10"/>
        <v>-581</v>
      </c>
      <c r="N46" s="111">
        <f t="shared" si="10"/>
        <v>-581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B4"/>
    <mergeCell ref="F2:J2"/>
    <mergeCell ref="F4:J4"/>
    <mergeCell ref="B5:B6"/>
    <mergeCell ref="F6:J6"/>
  </mergeCells>
  <pageMargins left="0.7" right="0.7" top="0.75" bottom="0.75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Personal Expenditure</vt:lpstr>
      <vt:lpstr>Sales Forecast</vt:lpstr>
      <vt:lpstr>Cash Flow Forecast Yr1</vt:lpstr>
      <vt:lpstr>Cash Flow Forecast Yr2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Julie-Anne Macey</dc:creator>
  <cp:lastModifiedBy>Caroline Keeber</cp:lastModifiedBy>
  <dcterms:created xsi:type="dcterms:W3CDTF">2017-03-24T13:04:50Z</dcterms:created>
  <dcterms:modified xsi:type="dcterms:W3CDTF">2021-12-02T11:52:10Z</dcterms:modified>
</cp:coreProperties>
</file>